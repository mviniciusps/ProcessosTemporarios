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bc931049337c22c4/Documentos/Programacao/Projetos/Processos Temporários/Outros/"/>
    </mc:Choice>
  </mc:AlternateContent>
  <xr:revisionPtr revIDLastSave="25" documentId="8_{61DCD537-B631-4B7B-BD9E-FC1E6332CE75}" xr6:coauthVersionLast="47" xr6:coauthVersionMax="47" xr10:uidLastSave="{CC2617B9-4F14-4193-8768-60207D439EF2}"/>
  <bookViews>
    <workbookView xWindow="10140" yWindow="0" windowWidth="10455" windowHeight="10905" xr2:uid="{744E9987-30DE-4760-ADDA-4BED5702C313}"/>
  </bookViews>
  <sheets>
    <sheet name="Planilha1" sheetId="1" r:id="rId1"/>
  </sheets>
  <definedNames>
    <definedName name="_xlnm.Print_Area" localSheetId="0">Planilha1!$A$1:$BL$106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1" l="1"/>
</calcChain>
</file>

<file path=xl/sharedStrings.xml><?xml version="1.0" encoding="utf-8"?>
<sst xmlns="http://schemas.openxmlformats.org/spreadsheetml/2006/main" count="268" uniqueCount="168">
  <si>
    <t>CNPJ</t>
  </si>
  <si>
    <t>mIIValor</t>
  </si>
  <si>
    <t>mIPIValor</t>
  </si>
  <si>
    <t>mPISValor</t>
  </si>
  <si>
    <t>mCOFINSValor</t>
  </si>
  <si>
    <t>mICMSValor</t>
  </si>
  <si>
    <t>E-24/0208-KRN</t>
  </si>
  <si>
    <t>EXP TEMPORARIA</t>
  </si>
  <si>
    <t>NULL</t>
  </si>
  <si>
    <t>26/12/2024 - Cobrado procedimento a ser adotado  18/12/2024 - Juntada efetuada  18/12/2024 - Docs recebidos  27/11/2024 - Informado que será reimportado  27/11/2024 - Cobrado novamente  28/10/2024 - Cobrado procedimento a ser adotado  23/10/2024 - Juntada efetuada  23/10/2024 - Docs recebidos  09/09/2024 - Cobrado procedimento a ser adotado  11/07/2024 - Processo incluído no controle</t>
  </si>
  <si>
    <t>Exportação Temporária</t>
  </si>
  <si>
    <t>Aéreo</t>
  </si>
  <si>
    <t>Karina Plasticos Ltda</t>
  </si>
  <si>
    <t>Avenida Antranig Guerekmezian</t>
  </si>
  <si>
    <t>Jardim Cumbica</t>
  </si>
  <si>
    <t>Guarulhos</t>
  </si>
  <si>
    <t>São Paulo</t>
  </si>
  <si>
    <t>Relatório Técnico de Envio de motor em Garantia para Collin</t>
  </si>
  <si>
    <t>Reparo</t>
  </si>
  <si>
    <t>I-19/0083-MBG</t>
  </si>
  <si>
    <t>GUINDASTE CC 2800-1</t>
  </si>
  <si>
    <t>Utilização Economica</t>
  </si>
  <si>
    <t>Marítimo</t>
  </si>
  <si>
    <t>Av Presidente Wilson</t>
  </si>
  <si>
    <t>Centro</t>
  </si>
  <si>
    <t>Rio de Janeiro</t>
  </si>
  <si>
    <t>14º Aditivo ao Contrato de Locaçao</t>
  </si>
  <si>
    <t>Aluguel</t>
  </si>
  <si>
    <t>02-0775-0929956</t>
  </si>
  <si>
    <t>SUSPENSA</t>
  </si>
  <si>
    <t>I-24/1826-VEO</t>
  </si>
  <si>
    <t>PILOT TEST PETROBRÁS</t>
  </si>
  <si>
    <t>29/11/2024 - Processo incluído no controle</t>
  </si>
  <si>
    <t>Suspensão Total</t>
  </si>
  <si>
    <t>Veolia Water Technologies and Solutions Brasil Tratamento de Aguas Ltda</t>
  </si>
  <si>
    <t>Rua Osasco</t>
  </si>
  <si>
    <t>Parque Industrial Anhanguera</t>
  </si>
  <si>
    <t>Cajamar</t>
  </si>
  <si>
    <t>Instrumento Particular de Contrato de Comodato</t>
  </si>
  <si>
    <t>Comodato</t>
  </si>
  <si>
    <t>TCP - Terminal de Conteineres de Paranagua S/A</t>
  </si>
  <si>
    <t>tCNPJ</t>
  </si>
  <si>
    <t>Washington</t>
  </si>
  <si>
    <t>Pequim</t>
  </si>
  <si>
    <t>Cingapura</t>
  </si>
  <si>
    <t>USD</t>
  </si>
  <si>
    <t>EUR</t>
  </si>
  <si>
    <t>iProcessoID (INT) (PK)</t>
  </si>
  <si>
    <t>cReferenciaCliente (NULL) (VARCHAR 100)</t>
  </si>
  <si>
    <t>cReferenciaBraslog (NOT NULL) (CHAR 13) (UNIQUE)</t>
  </si>
  <si>
    <t>cHistorico (NOT NULL) (VARCHAR MAX) (TRIGGER DATA ATUAL DE INCLUSAO)</t>
  </si>
  <si>
    <t>iDeclaracaoID (INT) (PK)</t>
  </si>
  <si>
    <t>iRegimeAduaneiroID (INT) (FK)</t>
  </si>
  <si>
    <t>iModalID (INT) (FK)</t>
  </si>
  <si>
    <t>iDeclaracaoID INT (INT) (FK)</t>
  </si>
  <si>
    <t>iCNPJID (INT) (FK)</t>
  </si>
  <si>
    <t>iContratoID (INT) (FK)</t>
  </si>
  <si>
    <t>iApoliceID (INT) (FK)</t>
  </si>
  <si>
    <t>iRecintoID (INT) (FK)</t>
  </si>
  <si>
    <t>iLogisticaID (INT) (FK)</t>
  </si>
  <si>
    <t>iValoresCalculoAduaneiroID (INT) (FK)</t>
  </si>
  <si>
    <t>24BR0010523748</t>
  </si>
  <si>
    <t>dDataRegistroDeclaracao (DATE) (NULL)</t>
  </si>
  <si>
    <t>dDataDesembaracoDeclaracao (DATE) (NULL)</t>
  </si>
  <si>
    <t>cNumeroDOSSIE (NULL) (CHAR 15)</t>
  </si>
  <si>
    <t>23/12/2024 - Juntada efetuada  23/12/2024 - Docs recebidos  25/11/2024 - Cobrado procedimento a ser adotado  22/11/2024 - Juntada efetuada  22/11/2024 - Docs recebidos  14/11/2024 - Numerario enviado ag retorno  12/11/2024 - Soclitiado prorrogaçao por mais 1 mes  30/09/2024 - Cobrado procedimento a ser adotado  23/06/2024 - Juntada efetuada  21/06/2024 - Docs recebidos  14/06/2024 - Enviado numerario, ag retorno  11/06/2024 - Solicitado prorrogação por mais 5 meses  03/06/2024 - Cobrado novamente  30/04/2024 - Cobrado procedimento a ser adotado  23/11/2023 - Juntada efetuada  22/11/2023 - Docs recebidos  27/10/2023 - Numerario e RPR foi enviado, ag retorno  26/10/2023 - Cobrado novamente, informado que será prorrogado por mais 7 meses  29/09/2023 - Cobrado procedimento a ser adotado  19/09/2023 - Juntada efetuada pelo DOSSIE  18/09/2023 - Recebido docs  05/09/2023 - Enviado Numerario e RPR, ag retorno  30/08/2023 - SOlicitado prorrogação por mais 2 meses  27/07/2023 - Cobrado procedimento a ser adotado  24/07/2023 - Apolice recebida e juntada  21/07/2023 - Juntada efetuada sem apolice  18/07/2023 - Docs recebidos, exceto Apolice  27/06/2023 - Numerario, TR e RPR enviados, ag retorno  21/06/2023 - Solicitado prorrogação por 2 meses  01/06/2023 - Cobrado procedimento a ser adotado  24/01/2023 - Juntada efetuada DOSSIE  e E-CAC, Apolice recebida  23/01/2023 - Docs recebidos, exceto APOLICE, juntada efetuada, aguardando APOLICE  10/01/2023 - Informado que será prorrogado por 6 meses, numerario, RPR e TR enviados, aguardando retorno  25/11/2022 - Cobrado procedimento a ser adotado  20/01/2022 - Juntada efetuada no E-CAC e DOSSIE  03/01/2022 - Informado que será prorrogado por 12 meses  28/12/2021 - Cobrado novamente  23/11/2021 - Cobrado procedimento a ser adotado  23/07/2021 - Docs recebidos, aguardando APOLICE, juntada efetuada através do E-CAC e DOSSIE sem APOLICE, APOLICE recebida, doc juntado  06/07/2021 - Solicitado prorrogação por 6 meses, TR e Numerario enviados  25/06/2021 - Cobrado novamente  25/05/2021 - Cobrado procedimento a ser adotado  04/05/2021 - Esteiras do guindaste com defeito e foram reexportadas, DI 21/0585528-7 para novas esteiras, acopladas ao guindaste  08/02/2021 - Despacho Decisorio  21/01/2021 - Docs recebidos, juntada feita no E-CAC  13/01/2021 - Cobrado docs  23/12/2020 - Informado que será prorrogado por 6 meses, TR e Numerario enviados  23/11/2020 - Cobrado procedimento a ser adotado  15/09/2020 - Despacho Decisorio  09/09/2020 - E-CAC com erro (antivirus analisando constantemente), documentos feitos pelo SVA, e protocolo fisicamente junto a RECEITA  27/08/2020 - Solicitado prorrogação ate 23/01/2021, TR  e Numerário enviados  17/08/2020 - Cobrado novamente  10/07/2020 - Cobrado qual procedimento deverá ser adotado  18/06/2020 - Despacho Decisorio  08/06/2020 - Juntada enviada pelo E-CAC  28/05/2020 - TR e Numerario enviados, aguardando documentos  27/05/2020 - Cobrado novamente, será prorrogado por mais 3 meses  09/04/2020 - Cobrado procedimento a ser adotado  29/11/2019 - Juntada protocolada no e-CAC  25/11/2019 - Recebido a documentação para inicio da prorrogação  14/11/2019 - Cobrado qual procedimento será adotado  31/10/2019 - Enviado o numerário e aguardando documentação para inicio da prorrogação  29/10/2019 - Recebido a informação que será prorrogado por 6 meses  09/10/2019 - Juntada enviada no e-CAC  08/10/2019 - Recebido os documentos para inicio da prorrogação  07/10/2019 - Cobrado documentação para inicio da prorrogação  02/10/2019 - Cobrado documentação para inicio da prorrogação  19/09/2019 - Enviando TR e numerario  13/09/2019 - Inormado que será prorrogado por dois meses  29/08/2019 - Cobrado qual procedimento será adotado  24/06/2019 - Processo Incluso no controle</t>
  </si>
  <si>
    <t>UNIDADE DE ACIONAMENTO EXTRUSORA E20 3F/1,1KW/I=16, DE MATERIAL EM AÇO, MODELO: M33200256, NUMERO DE SERIE: 20213888010004, FABRICANTE: COLLIN LAB &amp; PILOT SOLUTIONS GMBH</t>
  </si>
  <si>
    <t>GUINDASTE AUTOPROPELIDO SOBRE ESTEIRAS, MARCA TEREX-DEMAG, MODELO CC2800-I, NUMERO DE SERIE 62277, ANO DE FABRICAÇÃO 2008, USADO, NUMERO DA FROTA 1331, OMPUTADORIZADO, ACIONADO POR MOTOR DIESEL, CAPACIDADE DE 600 TONELADAS, SUPERLIFT, CONTRA-PESOS,COM TODOS ACESSÓRIOS PARA SEU FUNCIONAMENTO, DESMONTADO PARCIALMENTE PARA MANUSEIO E TRANSPORTE</t>
  </si>
  <si>
    <t>COMBINACAO DE MAQUINAS PARA DESAERACAO (SEPARACAO DE FASES LIQUIDA E GASOSA) COM MEMBRANAS CONTATORAS CONTENDO 1 BOMBA CENTRIFUGA MONOBLOCO, 1 BOMBA DE VACUO, 1 GERADOR DE NITROGENIO, 1 COMPRESSOR DE AR, 1 REFIGERADOR PARA AR COMPRIMIDO MEDIDOR   DE VAZAO, PRESSOSTATO, SENSOR DE TEMPERATURA, TRANSMISSOR DE PRESSAO, ANALISADOR DE OXIGENIO DISSOLVIDO, VALVULAS DOS TIPOS ESFERA, BORBOLETA, SOLENOIDE E RETENCAO 2 CARCACAS DE MEMBRANA, ONDE OS ELEMENTOS MECANICOS SAO INTERLIGADOS POR TUBULACOES   DE PVC-U PODENDO SER COLADOS OU PARAFUSADOS E OS DISPOSITIVOS ELETRICOS SAO INTERLIGADOS ATRAVES DE CABOS A UM PAINEL CENTRALMONTADOS SOBRE UMA BASE (FRAME) METALICA QUE CONTA COM SUPORTES PARA ALGUNS ITENS, DISPOSTOS EM UMA MONTAGEM PERMANENTE ALOCADA EM CONTAINER PARA USO NA REMOCAO DE GASES DISSOLVIDOS EM AGUA DE PROCESSO DE PETROLIFERA NÚMERO CONTAINER:JKCU101043722G1 ANO FABRICAÇÃO: 2016 - USADO</t>
  </si>
  <si>
    <t>Mammoet Brasil Guindastes Ltda</t>
  </si>
  <si>
    <t>Inst Port Mar Alf Uso Publ Cons Mult Rio-TII - Porto Rj</t>
  </si>
  <si>
    <t>Porto de Salvador - Codeba - Porto Marit Alf - Uso Publico</t>
  </si>
  <si>
    <t>cNumeroProcessoAdministrativo (NULL) (CHAR 17)</t>
  </si>
  <si>
    <t>cDescricao (NULL) (VARCHAR(MAX))</t>
  </si>
  <si>
    <t>iRegimeAduaneiroID (INT) (PK)</t>
  </si>
  <si>
    <t>iModalID (INT) (PK)</t>
  </si>
  <si>
    <t>iCNPJID (INT) (PK)</t>
  </si>
  <si>
    <t>iCidadeID (INT) (FK)</t>
  </si>
  <si>
    <t>NomeEmpresa (NOT NULL) (VARCHAR 100)</t>
  </si>
  <si>
    <t>cLogradouro (NOT NULL) (VARCHAR 100)</t>
  </si>
  <si>
    <t>cNumeroLogradouro (NULL) (VARCHAR 20)</t>
  </si>
  <si>
    <t>cBairroLogradouro (NULL) (VARCHAR 100)</t>
  </si>
  <si>
    <t>iCidadeID (INT) (PK)</t>
  </si>
  <si>
    <t>EstadoID (INT) (FK)</t>
  </si>
  <si>
    <t>CidadeNome (NOT NULL) (VARCHAR 100)</t>
  </si>
  <si>
    <t>iEstadoID (INT) (PK)</t>
  </si>
  <si>
    <t>Acre</t>
  </si>
  <si>
    <t>SP</t>
  </si>
  <si>
    <t>RJ</t>
  </si>
  <si>
    <t>AC</t>
  </si>
  <si>
    <t>iContratoID (INT) (PK)</t>
  </si>
  <si>
    <t>NomeContrato (NOT NULL) (VARCHAR 200)</t>
  </si>
  <si>
    <t>cEstadoNome (NOT NULL) (VARCHAR 100) (UNIQUE)</t>
  </si>
  <si>
    <t>cEstadoSigla (NOT NULL) (CHAR 2) (unique)</t>
  </si>
  <si>
    <t>CNPJ (NOT NULL) (CHAR 14) (UNIQUE)</t>
  </si>
  <si>
    <t>cNumeroDeclaracao (NULL) (VARCHAR(10 a 12)) (UNIQUE)</t>
  </si>
  <si>
    <t>cNomeRegimeAduaneiro (NOT NULL) (VARCHAR 50) (UNIQUE)</t>
  </si>
  <si>
    <t>Meios Proprios</t>
  </si>
  <si>
    <t>cNomeModal (NOT NULL) (VARCHAR 50) (UNIQUE)</t>
  </si>
  <si>
    <t>cContratoTipo (NOT NULL) (VARCHAR 25)</t>
  </si>
  <si>
    <t>dContratoDataAssinatura (NULL) (DATE)</t>
  </si>
  <si>
    <t>dContratoVencimento (NOT NULL) (DATE)</t>
  </si>
  <si>
    <t>iApoliceID (INT) (PK)</t>
  </si>
  <si>
    <t>cNumeroApolice (NOT NULL) (VARCHAR 25)</t>
  </si>
  <si>
    <t>dVencimentoGarantia (DATE) (NOT NULL) (AVISO DE 5 ANOS)</t>
  </si>
  <si>
    <t>dValorSegurado (NULL) (DOUBLE) (AVISO MENOR DO QUE OS IMPOSTOS SUSPENSOS)</t>
  </si>
  <si>
    <t>iRecintoID (INT) (PK)</t>
  </si>
  <si>
    <t>iURFID (int) (FK)</t>
  </si>
  <si>
    <t>cNumeroRecintoAduaneiro (NOT NULL) (CHAR 7) (UNIQUE)</t>
  </si>
  <si>
    <t>cNomeRecinto (NOT NULL) (VARCHAR 100) (UNIQUE)</t>
  </si>
  <si>
    <t>cUnidadeReceitaFederal (NOT NULL) (CHAR 7) (UNIQUE)</t>
  </si>
  <si>
    <t>cNomeUnidadeReceitaFederal (NOT NULL) (VARCHAR 100) (UNIQUE)</t>
  </si>
  <si>
    <t>iLogisticaID (INT) (PK)</t>
  </si>
  <si>
    <t>iLocalEmbarqueID (INT) (FK)</t>
  </si>
  <si>
    <t>cNumeroCE (NULL) (VARCHAR 15)</t>
  </si>
  <si>
    <t>cConhecimentoEmbarque (NOT NULL) (VARCHAR 50)</t>
  </si>
  <si>
    <t>dDataEmbarque (DATE) (NULL)</t>
  </si>
  <si>
    <t>dDataChegadaBrasil (NULL) (DATE)</t>
  </si>
  <si>
    <t>mValorAFRMMSuspenso (NULL) (DOUBLE)</t>
  </si>
  <si>
    <t>mFrete (NULL) (DOUBLE)</t>
  </si>
  <si>
    <t>mOutrasDespesas (NULL) (DOUBLE)</t>
  </si>
  <si>
    <t>dValorCapatazias (NULL) (DOUBLE)</t>
  </si>
  <si>
    <t>cTaxaMercanteStatus (NULL) (DOUBLE) (SE SIM 20,00)</t>
  </si>
  <si>
    <t>iLocalEmbarqueID (INT) (PK)</t>
  </si>
  <si>
    <t>iCidadeEmbarqueID (INT) (FK)</t>
  </si>
  <si>
    <t>iCidadeEmbarqueID (INT) (PK)</t>
  </si>
  <si>
    <t>cNomeCidadeEmbarque  (NOT NULL) (VARCHAR 100)</t>
  </si>
  <si>
    <t>cLocalEmbarque (NOT NULL) (VARCHAR 100) (UNIQUE)</t>
  </si>
  <si>
    <t>iPaisID (INT) (FK)</t>
  </si>
  <si>
    <t>iPaisID (INT) (PK)</t>
  </si>
  <si>
    <t>cNomePais (NOT NULL) (VARCHAR 100) (UNIQUE)</t>
  </si>
  <si>
    <t>iValoresCalculoAduaneiroID (INT) (PK)</t>
  </si>
  <si>
    <t>dData FK DATE NOT NULL</t>
  </si>
  <si>
    <t>cCodigoMoeda FK NOT NULL CHAR 3</t>
  </si>
  <si>
    <t>iDeclaracaoID INT FK</t>
  </si>
  <si>
    <t>mAdicoes INT NULL</t>
  </si>
  <si>
    <t>mTaxaSiscomex DOUBLE NOT NULL CALCULO A PARTIR DAS ADICOES</t>
  </si>
  <si>
    <t>mSeguro DOUBLE NULL</t>
  </si>
  <si>
    <t>iDeclaracaoItemID INT PK</t>
  </si>
  <si>
    <t>iDeclaracaoID FK INT</t>
  </si>
  <si>
    <t>cNCM NOT NULL CHAR 8</t>
  </si>
  <si>
    <t>mValorFOB DOUBLE NOT NULL</t>
  </si>
  <si>
    <t>mPesoLiquido DOUBLE NOT NULL</t>
  </si>
  <si>
    <t>mValorAduaneiro DOUBLE CALCULO AUTOMATICO</t>
  </si>
  <si>
    <t>cCodigoMoeda CHAR 3 PK</t>
  </si>
  <si>
    <t>mTaxaCambio DOUBLE NOT NULL</t>
  </si>
  <si>
    <t>Ccep char 8 NOT NULL</t>
  </si>
  <si>
    <t>iCEPID PK INT</t>
  </si>
  <si>
    <t>iURFID (int) (pk)</t>
  </si>
  <si>
    <t>iStatusCE INT PK</t>
  </si>
  <si>
    <t>ATIVO</t>
  </si>
  <si>
    <t>PAGO</t>
  </si>
  <si>
    <t>cStatusCE NOT NULL VARCHAR(25) UNIQUE</t>
  </si>
  <si>
    <t>iStatusCE INT FK</t>
  </si>
  <si>
    <t>dDataRegistro DATE PK</t>
  </si>
  <si>
    <t>iProrrogacao INT NULL DEFAULT 0</t>
  </si>
  <si>
    <t>dDataCalculo DATE NOT NULL</t>
  </si>
  <si>
    <t>mAliqICMS DOUBLE NOT NULL</t>
  </si>
  <si>
    <t>iNCM PK INT</t>
  </si>
  <si>
    <t>mAliqII (NOT NULL) DOUBLE</t>
  </si>
  <si>
    <t>mAliqIPI (NOT NULL) DOUBLE</t>
  </si>
  <si>
    <t>mAliqPIS (NOT NULL) DOUBLE</t>
  </si>
  <si>
    <t>mAliqCOFINS (NOT NULL) DOUBLE</t>
  </si>
  <si>
    <t>IsAtivo (BIT) (NOT NULL) DEFAULT 1</t>
  </si>
  <si>
    <t>iCEPID FK INT</t>
  </si>
  <si>
    <t>iNCM FK INT</t>
  </si>
  <si>
    <t>dDataSELIC DATE</t>
  </si>
  <si>
    <t>mTaxaSelicAcumulada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</si>
</sst>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1" xfId="0" applyBorder="1"/>
    <xf numFmtId="0" fontId="1" fillId="2" borderId="1" xfId="0" applyFont="1" applyFill="1" applyBorder="1"/>
    <xf numFmtId="14" fontId="0" fillId="0" borderId="1" xfId="0" applyNumberFormat="1" applyBorder="1"/>
    <xf numFmtId="0" fontId="1" fillId="3" borderId="1" xfId="0" applyFont="1" applyFill="1" applyBorder="1"/>
    <xf numFmtId="0" fontId="1" fillId="0" borderId="1" xfId="0" applyFont="1" applyBorder="1"/>
    <xf numFmtId="0" fontId="1" fillId="0" borderId="0" xfId="0" applyFont="1"/>
    <xf numFmtId="14" fontId="0" fillId="3" borderId="1" xfId="0" applyNumberFormat="1" applyFill="1" applyBorder="1"/>
    <xf numFmtId="0" fontId="0" fillId="3" borderId="1" xfId="0" applyFill="1" applyBorder="1"/>
    <xf numFmtId="0" fontId="1" fillId="4" borderId="1" xfId="0" applyFont="1" applyFill="1" applyBorder="1"/>
    <xf numFmtId="0" fontId="0" fillId="4" borderId="0" xfId="0" applyFill="1"/>
    <xf numFmtId="0" fontId="0" fillId="4" borderId="1" xfId="0" applyFill="1" applyBorder="1"/>
    <xf numFmtId="14" fontId="0" fillId="4" borderId="1" xfId="0" applyNumberFormat="1" applyFill="1" applyBorder="1"/>
    <xf numFmtId="164" fontId="0" fillId="4"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135A1-D998-460A-B217-B3630BAFF90F}">
  <dimension ref="A1:BL106"/>
  <sheetViews>
    <sheetView tabSelected="1" view="pageBreakPreview" zoomScaleNormal="100" zoomScaleSheetLayoutView="100" workbookViewId="0">
      <selection activeCell="B1" sqref="B1"/>
    </sheetView>
  </sheetViews>
  <sheetFormatPr defaultRowHeight="15" x14ac:dyDescent="0.25"/>
  <cols>
    <col min="1" max="1" width="29.140625" bestFit="1" customWidth="1"/>
    <col min="2" max="2" width="58" bestFit="1" customWidth="1"/>
    <col min="3" max="3" width="39.85546875" bestFit="1" customWidth="1"/>
    <col min="4" max="4" width="67.5703125" bestFit="1" customWidth="1"/>
    <col min="5" max="5" width="79.85546875" bestFit="1" customWidth="1"/>
    <col min="6" max="6" width="255.7109375" bestFit="1" customWidth="1"/>
    <col min="7" max="7" width="30.85546875" bestFit="1" customWidth="1"/>
    <col min="8" max="8" width="39.5703125" bestFit="1" customWidth="1"/>
    <col min="9" max="9" width="54.28515625" bestFit="1" customWidth="1"/>
    <col min="10" max="10" width="38" bestFit="1" customWidth="1"/>
    <col min="11" max="11" width="19.28515625" bestFit="1" customWidth="1"/>
    <col min="12" max="12" width="20.28515625" customWidth="1"/>
    <col min="13" max="13" width="23.28515625" bestFit="1" customWidth="1"/>
    <col min="14" max="14" width="33.85546875" customWidth="1"/>
    <col min="15" max="15" width="7.85546875" bestFit="1" customWidth="1"/>
    <col min="16" max="16" width="12" bestFit="1" customWidth="1"/>
    <col min="17" max="17" width="67.5703125" bestFit="1" customWidth="1"/>
    <col min="18" max="18" width="29.42578125" bestFit="1" customWidth="1"/>
    <col min="19" max="19" width="19.5703125" bestFit="1" customWidth="1"/>
    <col min="20" max="20" width="28" bestFit="1" customWidth="1"/>
    <col min="21" max="21" width="15" bestFit="1" customWidth="1"/>
    <col min="22" max="22" width="18" bestFit="1" customWidth="1"/>
    <col min="23" max="23" width="17.85546875" bestFit="1" customWidth="1"/>
    <col min="24" max="24" width="11" bestFit="1" customWidth="1"/>
    <col min="25" max="25" width="55.28515625" bestFit="1" customWidth="1"/>
    <col min="26" max="26" width="13.5703125" bestFit="1" customWidth="1"/>
    <col min="27" max="27" width="23.85546875" bestFit="1" customWidth="1"/>
    <col min="28" max="28" width="20.42578125" bestFit="1" customWidth="1"/>
    <col min="29" max="29" width="10" bestFit="1" customWidth="1"/>
    <col min="30" max="30" width="15.85546875" bestFit="1" customWidth="1"/>
    <col min="31" max="31" width="20.5703125" bestFit="1" customWidth="1"/>
    <col min="32" max="32" width="15.28515625" bestFit="1" customWidth="1"/>
    <col min="33" max="33" width="17.7109375" bestFit="1" customWidth="1"/>
    <col min="34" max="34" width="10" bestFit="1" customWidth="1"/>
    <col min="35" max="35" width="25.28515625" bestFit="1" customWidth="1"/>
    <col min="36" max="36" width="53.42578125" bestFit="1" customWidth="1"/>
    <col min="37" max="37" width="22.85546875" bestFit="1" customWidth="1"/>
    <col min="38" max="38" width="28.28515625" bestFit="1" customWidth="1"/>
    <col min="39" max="39" width="13.7109375" bestFit="1" customWidth="1"/>
    <col min="40" max="40" width="16.5703125" bestFit="1" customWidth="1"/>
    <col min="41" max="41" width="16.42578125" bestFit="1" customWidth="1"/>
    <col min="42" max="42" width="11.28515625" bestFit="1" customWidth="1"/>
    <col min="43" max="43" width="10" bestFit="1" customWidth="1"/>
    <col min="44" max="44" width="12" bestFit="1" customWidth="1"/>
    <col min="45" max="45" width="24.140625" bestFit="1" customWidth="1"/>
    <col min="46" max="46" width="15.42578125" bestFit="1" customWidth="1"/>
    <col min="47" max="47" width="17.42578125" bestFit="1" customWidth="1"/>
    <col min="48" max="48" width="15" bestFit="1" customWidth="1"/>
    <col min="49" max="49" width="19.42578125" bestFit="1" customWidth="1"/>
    <col min="50" max="50" width="22.85546875" bestFit="1" customWidth="1"/>
    <col min="51" max="51" width="7" bestFit="1" customWidth="1"/>
    <col min="52" max="52" width="17.5703125" bestFit="1" customWidth="1"/>
    <col min="53" max="54" width="20" bestFit="1" customWidth="1"/>
    <col min="55" max="55" width="16.85546875" bestFit="1" customWidth="1"/>
    <col min="56" max="56" width="28" bestFit="1" customWidth="1"/>
    <col min="57" max="57" width="9.7109375" bestFit="1" customWidth="1"/>
    <col min="58" max="58" width="13.85546875" bestFit="1" customWidth="1"/>
    <col min="59" max="59" width="8.7109375" bestFit="1" customWidth="1"/>
    <col min="60" max="60" width="11.5703125" bestFit="1" customWidth="1"/>
    <col min="61" max="61" width="17.7109375" bestFit="1" customWidth="1"/>
    <col min="62" max="62" width="6.140625" bestFit="1" customWidth="1"/>
    <col min="63" max="63" width="11" bestFit="1" customWidth="1"/>
    <col min="64" max="64" width="13.7109375" bestFit="1" customWidth="1"/>
    <col min="65" max="65" width="16.7109375" bestFit="1" customWidth="1"/>
    <col min="66" max="66" width="7.28515625" bestFit="1" customWidth="1"/>
    <col min="67" max="67" width="8.5703125" bestFit="1" customWidth="1"/>
    <col min="68" max="68" width="8.42578125" bestFit="1" customWidth="1"/>
    <col min="69" max="69" width="9.7109375" bestFit="1" customWidth="1"/>
    <col min="70" max="70" width="8.85546875" bestFit="1" customWidth="1"/>
    <col min="71" max="71" width="10.140625" bestFit="1" customWidth="1"/>
    <col min="72" max="72" width="12.7109375" bestFit="1" customWidth="1"/>
    <col min="73" max="73" width="14.140625" bestFit="1" customWidth="1"/>
    <col min="74" max="74" width="10.42578125" bestFit="1" customWidth="1"/>
    <col min="75" max="75" width="11.7109375" bestFit="1" customWidth="1"/>
    <col min="76" max="76" width="8.5703125" bestFit="1" customWidth="1"/>
    <col min="77" max="77" width="10.140625" bestFit="1" customWidth="1"/>
    <col min="78" max="78" width="9.7109375" bestFit="1" customWidth="1"/>
    <col min="79" max="79" width="11.28515625" bestFit="1" customWidth="1"/>
    <col min="80" max="80" width="10.140625" bestFit="1" customWidth="1"/>
    <col min="81" max="81" width="11.7109375" bestFit="1" customWidth="1"/>
    <col min="82" max="82" width="14.140625" bestFit="1" customWidth="1"/>
    <col min="83" max="83" width="15.7109375" bestFit="1" customWidth="1"/>
    <col min="84" max="84" width="11.7109375" bestFit="1" customWidth="1"/>
    <col min="85" max="85" width="13.42578125" bestFit="1" customWidth="1"/>
  </cols>
  <sheetData>
    <row r="1" spans="1:64" s="10" customFormat="1" x14ac:dyDescent="0.25">
      <c r="A1" s="9" t="s">
        <v>47</v>
      </c>
      <c r="B1" s="9" t="s">
        <v>53</v>
      </c>
      <c r="C1" s="9" t="s">
        <v>54</v>
      </c>
      <c r="D1" s="9" t="s">
        <v>49</v>
      </c>
      <c r="E1" s="9" t="s">
        <v>48</v>
      </c>
      <c r="F1" s="9" t="s">
        <v>50</v>
      </c>
      <c r="G1" s="9" t="s">
        <v>163</v>
      </c>
    </row>
    <row r="2" spans="1:64" s="10" customFormat="1" x14ac:dyDescent="0.25">
      <c r="A2" s="11">
        <v>1</v>
      </c>
      <c r="B2" s="9">
        <v>2</v>
      </c>
      <c r="C2" s="9">
        <v>1</v>
      </c>
      <c r="D2" s="11" t="s">
        <v>6</v>
      </c>
      <c r="E2" s="11" t="s">
        <v>7</v>
      </c>
      <c r="F2" s="11" t="s">
        <v>9</v>
      </c>
      <c r="G2" s="11">
        <v>1</v>
      </c>
    </row>
    <row r="3" spans="1:64" s="10" customFormat="1" x14ac:dyDescent="0.25">
      <c r="A3" s="11">
        <v>2</v>
      </c>
      <c r="B3" s="9">
        <v>3</v>
      </c>
      <c r="C3" s="9">
        <v>2</v>
      </c>
      <c r="D3" s="11" t="s">
        <v>19</v>
      </c>
      <c r="E3" s="11" t="s">
        <v>20</v>
      </c>
      <c r="F3" s="11" t="s">
        <v>65</v>
      </c>
      <c r="G3" s="11">
        <v>1</v>
      </c>
    </row>
    <row r="4" spans="1:64" s="10" customFormat="1" x14ac:dyDescent="0.25">
      <c r="A4" s="11">
        <v>3</v>
      </c>
      <c r="B4" s="9">
        <v>3</v>
      </c>
      <c r="C4" s="9">
        <v>3</v>
      </c>
      <c r="D4" s="11" t="s">
        <v>30</v>
      </c>
      <c r="E4" s="11" t="s">
        <v>31</v>
      </c>
      <c r="F4" s="11" t="s">
        <v>32</v>
      </c>
      <c r="G4" s="11">
        <v>1</v>
      </c>
    </row>
    <row r="5" spans="1:64" x14ac:dyDescent="0.25">
      <c r="BD5" t="s">
        <v>0</v>
      </c>
    </row>
    <row r="6" spans="1:64" s="10" customFormat="1" x14ac:dyDescent="0.25">
      <c r="A6" s="9" t="s">
        <v>51</v>
      </c>
      <c r="B6" s="9" t="s">
        <v>52</v>
      </c>
      <c r="C6" s="9" t="s">
        <v>55</v>
      </c>
      <c r="D6" s="9" t="s">
        <v>56</v>
      </c>
      <c r="E6" s="9" t="s">
        <v>57</v>
      </c>
      <c r="F6" s="9" t="s">
        <v>58</v>
      </c>
      <c r="G6" s="9" t="s">
        <v>59</v>
      </c>
      <c r="H6" s="9" t="s">
        <v>60</v>
      </c>
      <c r="I6" s="9" t="s">
        <v>95</v>
      </c>
      <c r="J6" s="9" t="s">
        <v>62</v>
      </c>
      <c r="K6" s="9" t="s">
        <v>63</v>
      </c>
      <c r="L6" s="9" t="s">
        <v>64</v>
      </c>
      <c r="M6" s="9" t="s">
        <v>72</v>
      </c>
      <c r="N6" s="9" t="s">
        <v>73</v>
      </c>
      <c r="BL6" s="10" t="s">
        <v>41</v>
      </c>
    </row>
    <row r="7" spans="1:64" s="10" customFormat="1" x14ac:dyDescent="0.25">
      <c r="A7" s="11">
        <v>1</v>
      </c>
      <c r="B7" s="9">
        <v>3</v>
      </c>
      <c r="C7" s="9">
        <v>12</v>
      </c>
      <c r="D7" s="9">
        <v>8</v>
      </c>
      <c r="E7" s="9" t="s">
        <v>8</v>
      </c>
      <c r="F7" s="9">
        <v>12</v>
      </c>
      <c r="G7" s="9" t="s">
        <v>8</v>
      </c>
      <c r="H7" s="9" t="s">
        <v>8</v>
      </c>
      <c r="I7" s="11" t="s">
        <v>61</v>
      </c>
      <c r="J7" s="12">
        <v>45467</v>
      </c>
      <c r="K7" s="12">
        <v>45468</v>
      </c>
      <c r="L7" s="11">
        <v>202400242169252</v>
      </c>
      <c r="M7" s="11" t="s">
        <v>8</v>
      </c>
      <c r="N7" s="11" t="s">
        <v>66</v>
      </c>
    </row>
    <row r="8" spans="1:64" s="10" customFormat="1" x14ac:dyDescent="0.25">
      <c r="A8" s="11">
        <v>2</v>
      </c>
      <c r="B8" s="9">
        <v>2</v>
      </c>
      <c r="C8" s="9">
        <v>6</v>
      </c>
      <c r="D8" s="9">
        <v>20</v>
      </c>
      <c r="E8" s="9">
        <v>9</v>
      </c>
      <c r="F8" s="9">
        <v>7</v>
      </c>
      <c r="G8" s="9">
        <v>14</v>
      </c>
      <c r="H8" s="9" t="s">
        <v>8</v>
      </c>
      <c r="I8" s="11">
        <v>1905629534</v>
      </c>
      <c r="J8" s="12">
        <v>43552</v>
      </c>
      <c r="K8" s="12">
        <v>43564</v>
      </c>
      <c r="L8" s="11">
        <v>201900038644169</v>
      </c>
      <c r="M8" s="11">
        <v>1.01200046390319E+16</v>
      </c>
      <c r="N8" s="11" t="s">
        <v>67</v>
      </c>
    </row>
    <row r="9" spans="1:64" s="10" customFormat="1" x14ac:dyDescent="0.25">
      <c r="A9" s="11">
        <v>3</v>
      </c>
      <c r="B9" s="9">
        <v>1</v>
      </c>
      <c r="C9" s="9">
        <v>11</v>
      </c>
      <c r="D9" s="9">
        <v>31</v>
      </c>
      <c r="E9" s="9" t="s">
        <v>8</v>
      </c>
      <c r="F9" s="9">
        <v>19</v>
      </c>
      <c r="G9" s="9">
        <v>27</v>
      </c>
      <c r="H9" s="9" t="s">
        <v>8</v>
      </c>
      <c r="I9" s="11">
        <v>2425413366</v>
      </c>
      <c r="J9" s="12">
        <v>45615</v>
      </c>
      <c r="K9" s="12">
        <v>45615</v>
      </c>
      <c r="L9" s="11">
        <v>202400261377728</v>
      </c>
      <c r="M9" s="11" t="s">
        <v>8</v>
      </c>
      <c r="N9" s="11" t="s">
        <v>68</v>
      </c>
    </row>
    <row r="10" spans="1:64" x14ac:dyDescent="0.25">
      <c r="M10">
        <f>LEN(M8)</f>
        <v>17</v>
      </c>
    </row>
    <row r="11" spans="1:64" s="10" customFormat="1" x14ac:dyDescent="0.25">
      <c r="A11" s="9" t="s">
        <v>74</v>
      </c>
      <c r="B11" s="9" t="s">
        <v>96</v>
      </c>
    </row>
    <row r="12" spans="1:64" s="10" customFormat="1" x14ac:dyDescent="0.25">
      <c r="A12" s="11">
        <v>3</v>
      </c>
      <c r="B12" s="11" t="s">
        <v>10</v>
      </c>
    </row>
    <row r="13" spans="1:64" s="10" customFormat="1" x14ac:dyDescent="0.25">
      <c r="A13" s="11">
        <v>2</v>
      </c>
      <c r="B13" s="11" t="s">
        <v>21</v>
      </c>
    </row>
    <row r="14" spans="1:64" s="10" customFormat="1" x14ac:dyDescent="0.25">
      <c r="A14" s="11">
        <v>1</v>
      </c>
      <c r="B14" s="11" t="s">
        <v>33</v>
      </c>
    </row>
    <row r="16" spans="1:64" s="10" customFormat="1" x14ac:dyDescent="0.25">
      <c r="A16" s="9" t="s">
        <v>75</v>
      </c>
      <c r="B16" s="9" t="s">
        <v>98</v>
      </c>
    </row>
    <row r="17" spans="1:6" s="10" customFormat="1" x14ac:dyDescent="0.25">
      <c r="A17" s="11">
        <v>2</v>
      </c>
      <c r="B17" s="11" t="s">
        <v>11</v>
      </c>
    </row>
    <row r="18" spans="1:6" s="10" customFormat="1" x14ac:dyDescent="0.25">
      <c r="A18" s="11">
        <v>3</v>
      </c>
      <c r="B18" s="11" t="s">
        <v>22</v>
      </c>
    </row>
    <row r="19" spans="1:6" s="10" customFormat="1" x14ac:dyDescent="0.25">
      <c r="A19" s="11">
        <v>3</v>
      </c>
      <c r="B19" s="11" t="s">
        <v>97</v>
      </c>
    </row>
    <row r="21" spans="1:6" x14ac:dyDescent="0.25">
      <c r="A21" s="2" t="s">
        <v>76</v>
      </c>
      <c r="B21" s="2" t="s">
        <v>164</v>
      </c>
      <c r="C21" s="2" t="s">
        <v>94</v>
      </c>
      <c r="D21" s="2" t="s">
        <v>78</v>
      </c>
    </row>
    <row r="22" spans="1:6" x14ac:dyDescent="0.25">
      <c r="A22" s="1">
        <v>12</v>
      </c>
      <c r="B22" s="4">
        <v>9</v>
      </c>
      <c r="C22" s="1">
        <v>51254159000173</v>
      </c>
      <c r="D22" s="1" t="s">
        <v>12</v>
      </c>
    </row>
    <row r="23" spans="1:6" x14ac:dyDescent="0.25">
      <c r="A23" s="1">
        <v>6</v>
      </c>
      <c r="B23" s="4">
        <v>5</v>
      </c>
      <c r="C23" s="1">
        <v>11426377000638</v>
      </c>
      <c r="D23" s="1" t="s">
        <v>69</v>
      </c>
    </row>
    <row r="24" spans="1:6" x14ac:dyDescent="0.25">
      <c r="A24" s="1">
        <v>11</v>
      </c>
      <c r="B24" s="4">
        <v>8</v>
      </c>
      <c r="C24" s="1">
        <v>47098918000693</v>
      </c>
      <c r="D24" s="1" t="s">
        <v>34</v>
      </c>
    </row>
    <row r="26" spans="1:6" x14ac:dyDescent="0.25">
      <c r="A26" s="2" t="s">
        <v>147</v>
      </c>
      <c r="B26" s="2" t="s">
        <v>77</v>
      </c>
      <c r="C26" s="2" t="s">
        <v>146</v>
      </c>
      <c r="D26" s="2" t="s">
        <v>79</v>
      </c>
      <c r="E26" s="2" t="s">
        <v>80</v>
      </c>
      <c r="F26" s="2" t="s">
        <v>81</v>
      </c>
    </row>
    <row r="27" spans="1:6" x14ac:dyDescent="0.25">
      <c r="A27" s="1">
        <v>1</v>
      </c>
      <c r="B27" s="4">
        <v>9</v>
      </c>
      <c r="C27" s="1">
        <v>11340300</v>
      </c>
      <c r="D27" s="1" t="s">
        <v>13</v>
      </c>
      <c r="E27" s="1">
        <v>788</v>
      </c>
      <c r="F27" s="1" t="s">
        <v>14</v>
      </c>
    </row>
    <row r="28" spans="1:6" x14ac:dyDescent="0.25">
      <c r="A28" s="1">
        <v>2</v>
      </c>
      <c r="B28" s="4">
        <v>5</v>
      </c>
      <c r="C28" s="1">
        <v>77340300</v>
      </c>
      <c r="D28" s="1" t="s">
        <v>23</v>
      </c>
      <c r="E28" s="1">
        <v>231</v>
      </c>
      <c r="F28" s="1" t="s">
        <v>24</v>
      </c>
    </row>
    <row r="29" spans="1:6" x14ac:dyDescent="0.25">
      <c r="A29" s="1">
        <v>3</v>
      </c>
      <c r="B29" s="4">
        <v>8</v>
      </c>
      <c r="C29" s="1">
        <v>77340300</v>
      </c>
      <c r="D29" s="1" t="s">
        <v>35</v>
      </c>
      <c r="E29" s="1">
        <v>28</v>
      </c>
      <c r="F29" s="1" t="s">
        <v>36</v>
      </c>
    </row>
    <row r="31" spans="1:6" x14ac:dyDescent="0.25">
      <c r="A31" s="2" t="s">
        <v>82</v>
      </c>
      <c r="B31" s="2" t="s">
        <v>83</v>
      </c>
      <c r="C31" s="2" t="s">
        <v>84</v>
      </c>
    </row>
    <row r="32" spans="1:6" x14ac:dyDescent="0.25">
      <c r="A32" s="1">
        <v>9</v>
      </c>
      <c r="B32" s="4">
        <v>1</v>
      </c>
      <c r="C32" s="1" t="s">
        <v>15</v>
      </c>
    </row>
    <row r="33" spans="1:5" x14ac:dyDescent="0.25">
      <c r="A33" s="1">
        <v>5</v>
      </c>
      <c r="B33" s="4">
        <v>3</v>
      </c>
      <c r="C33" s="1" t="s">
        <v>25</v>
      </c>
    </row>
    <row r="34" spans="1:5" x14ac:dyDescent="0.25">
      <c r="A34" s="1">
        <v>8</v>
      </c>
      <c r="B34" s="4">
        <v>2</v>
      </c>
      <c r="C34" s="1" t="s">
        <v>37</v>
      </c>
    </row>
    <row r="36" spans="1:5" s="10" customFormat="1" x14ac:dyDescent="0.25">
      <c r="A36" s="9" t="s">
        <v>85</v>
      </c>
      <c r="B36" s="9" t="s">
        <v>92</v>
      </c>
      <c r="C36" s="9" t="s">
        <v>93</v>
      </c>
      <c r="D36" s="9" t="s">
        <v>157</v>
      </c>
    </row>
    <row r="37" spans="1:5" s="10" customFormat="1" x14ac:dyDescent="0.25">
      <c r="A37" s="11">
        <v>9</v>
      </c>
      <c r="B37" s="11" t="s">
        <v>16</v>
      </c>
      <c r="C37" s="11" t="s">
        <v>87</v>
      </c>
      <c r="D37" s="11">
        <v>18</v>
      </c>
    </row>
    <row r="38" spans="1:5" s="10" customFormat="1" x14ac:dyDescent="0.25">
      <c r="A38" s="11">
        <v>5</v>
      </c>
      <c r="B38" s="11" t="s">
        <v>25</v>
      </c>
      <c r="C38" s="11" t="s">
        <v>88</v>
      </c>
      <c r="D38" s="11">
        <v>17</v>
      </c>
    </row>
    <row r="39" spans="1:5" s="10" customFormat="1" x14ac:dyDescent="0.25">
      <c r="A39" s="11">
        <v>8</v>
      </c>
      <c r="B39" s="11" t="s">
        <v>86</v>
      </c>
      <c r="C39" s="11" t="s">
        <v>89</v>
      </c>
      <c r="D39" s="11">
        <v>16</v>
      </c>
    </row>
    <row r="41" spans="1:5" s="10" customFormat="1" x14ac:dyDescent="0.25">
      <c r="A41" s="9" t="s">
        <v>90</v>
      </c>
      <c r="B41" s="9" t="s">
        <v>91</v>
      </c>
      <c r="C41" s="9" t="s">
        <v>99</v>
      </c>
      <c r="D41" s="9" t="s">
        <v>100</v>
      </c>
      <c r="E41" s="9" t="s">
        <v>101</v>
      </c>
    </row>
    <row r="42" spans="1:5" s="10" customFormat="1" x14ac:dyDescent="0.25">
      <c r="A42" s="11">
        <v>8</v>
      </c>
      <c r="B42" s="11" t="s">
        <v>17</v>
      </c>
      <c r="C42" s="11" t="s">
        <v>18</v>
      </c>
      <c r="D42" s="12" t="s">
        <v>8</v>
      </c>
      <c r="E42" s="12">
        <v>45679</v>
      </c>
    </row>
    <row r="43" spans="1:5" s="10" customFormat="1" x14ac:dyDescent="0.25">
      <c r="A43" s="11">
        <v>20</v>
      </c>
      <c r="B43" s="11" t="s">
        <v>26</v>
      </c>
      <c r="C43" s="11" t="s">
        <v>27</v>
      </c>
      <c r="D43" s="12">
        <v>45645</v>
      </c>
      <c r="E43" s="12">
        <v>45770</v>
      </c>
    </row>
    <row r="44" spans="1:5" s="10" customFormat="1" x14ac:dyDescent="0.25">
      <c r="A44" s="11">
        <v>31</v>
      </c>
      <c r="B44" s="11" t="s">
        <v>38</v>
      </c>
      <c r="C44" s="11" t="s">
        <v>39</v>
      </c>
      <c r="D44" s="12">
        <v>45425</v>
      </c>
      <c r="E44" s="12">
        <v>45790</v>
      </c>
    </row>
    <row r="46" spans="1:5" x14ac:dyDescent="0.25">
      <c r="A46" s="2" t="s">
        <v>102</v>
      </c>
      <c r="B46" s="2" t="s">
        <v>58</v>
      </c>
      <c r="C46" s="2" t="s">
        <v>103</v>
      </c>
      <c r="D46" s="2" t="s">
        <v>104</v>
      </c>
      <c r="E46" s="2" t="s">
        <v>105</v>
      </c>
    </row>
    <row r="47" spans="1:5" x14ac:dyDescent="0.25">
      <c r="A47" s="1" t="s">
        <v>8</v>
      </c>
      <c r="B47" s="4">
        <v>12</v>
      </c>
      <c r="C47" s="1" t="s">
        <v>8</v>
      </c>
      <c r="D47" s="3" t="s">
        <v>8</v>
      </c>
      <c r="E47" s="1" t="s">
        <v>8</v>
      </c>
    </row>
    <row r="48" spans="1:5" x14ac:dyDescent="0.25">
      <c r="A48" s="1">
        <v>9</v>
      </c>
      <c r="B48" s="4">
        <v>7</v>
      </c>
      <c r="C48" s="1" t="s">
        <v>28</v>
      </c>
      <c r="D48" s="3">
        <v>46226</v>
      </c>
      <c r="E48" s="1" t="s">
        <v>8</v>
      </c>
    </row>
    <row r="49" spans="1:12" x14ac:dyDescent="0.25">
      <c r="A49" s="1" t="s">
        <v>8</v>
      </c>
      <c r="B49" s="4">
        <v>19</v>
      </c>
      <c r="C49" s="1" t="s">
        <v>8</v>
      </c>
      <c r="D49" s="3" t="s">
        <v>8</v>
      </c>
      <c r="E49" s="1" t="s">
        <v>8</v>
      </c>
    </row>
    <row r="51" spans="1:12" x14ac:dyDescent="0.25">
      <c r="A51" s="2" t="s">
        <v>106</v>
      </c>
      <c r="B51" s="2" t="s">
        <v>107</v>
      </c>
      <c r="C51" s="2" t="s">
        <v>77</v>
      </c>
      <c r="D51" s="2" t="s">
        <v>108</v>
      </c>
      <c r="E51" s="2" t="s">
        <v>109</v>
      </c>
    </row>
    <row r="52" spans="1:12" x14ac:dyDescent="0.25">
      <c r="A52" s="1">
        <v>12</v>
      </c>
      <c r="B52" s="4">
        <v>1</v>
      </c>
      <c r="C52" s="4">
        <v>9</v>
      </c>
      <c r="D52" s="1">
        <v>7921303</v>
      </c>
      <c r="E52" s="1" t="s">
        <v>70</v>
      </c>
    </row>
    <row r="53" spans="1:12" x14ac:dyDescent="0.25">
      <c r="A53" s="1">
        <v>7</v>
      </c>
      <c r="B53" s="4">
        <v>2</v>
      </c>
      <c r="C53" s="4">
        <v>5</v>
      </c>
      <c r="D53" s="1">
        <v>5921301</v>
      </c>
      <c r="E53" s="1" t="s">
        <v>71</v>
      </c>
    </row>
    <row r="54" spans="1:12" x14ac:dyDescent="0.25">
      <c r="A54" s="1">
        <v>19</v>
      </c>
      <c r="B54" s="4">
        <v>3</v>
      </c>
      <c r="C54" s="4">
        <v>8</v>
      </c>
      <c r="D54" s="1">
        <v>9801303</v>
      </c>
      <c r="E54" s="1" t="s">
        <v>40</v>
      </c>
    </row>
    <row r="56" spans="1:12" x14ac:dyDescent="0.25">
      <c r="A56" s="2" t="s">
        <v>148</v>
      </c>
      <c r="B56" s="2" t="s">
        <v>77</v>
      </c>
      <c r="C56" s="2" t="s">
        <v>110</v>
      </c>
      <c r="D56" s="2" t="s">
        <v>111</v>
      </c>
    </row>
    <row r="57" spans="1:12" x14ac:dyDescent="0.25">
      <c r="A57" s="1">
        <v>1</v>
      </c>
      <c r="B57" s="4">
        <v>9</v>
      </c>
      <c r="C57" s="1">
        <v>717600</v>
      </c>
      <c r="D57" s="1" t="s">
        <v>8</v>
      </c>
    </row>
    <row r="58" spans="1:12" x14ac:dyDescent="0.25">
      <c r="A58" s="1">
        <v>2</v>
      </c>
      <c r="B58" s="4">
        <v>5</v>
      </c>
      <c r="C58" s="1">
        <v>517800</v>
      </c>
      <c r="D58" s="1" t="s">
        <v>8</v>
      </c>
    </row>
    <row r="59" spans="1:12" x14ac:dyDescent="0.25">
      <c r="A59" s="1">
        <v>3</v>
      </c>
      <c r="B59" s="4">
        <v>8</v>
      </c>
      <c r="C59" s="1">
        <v>917800</v>
      </c>
      <c r="D59" s="1" t="s">
        <v>8</v>
      </c>
    </row>
    <row r="61" spans="1:12" x14ac:dyDescent="0.25">
      <c r="A61" s="2" t="s">
        <v>112</v>
      </c>
      <c r="B61" s="2" t="s">
        <v>113</v>
      </c>
      <c r="C61" s="2" t="s">
        <v>153</v>
      </c>
      <c r="D61" s="2" t="s">
        <v>114</v>
      </c>
      <c r="E61" s="2" t="s">
        <v>115</v>
      </c>
      <c r="F61" s="2" t="s">
        <v>116</v>
      </c>
      <c r="G61" s="2" t="s">
        <v>117</v>
      </c>
      <c r="H61" s="2" t="s">
        <v>118</v>
      </c>
      <c r="I61" s="2" t="s">
        <v>119</v>
      </c>
      <c r="J61" s="2" t="s">
        <v>120</v>
      </c>
      <c r="K61" s="2" t="s">
        <v>122</v>
      </c>
      <c r="L61" s="2" t="s">
        <v>121</v>
      </c>
    </row>
    <row r="62" spans="1:12" x14ac:dyDescent="0.25">
      <c r="A62" s="1" t="s">
        <v>8</v>
      </c>
      <c r="B62" s="4" t="s">
        <v>8</v>
      </c>
      <c r="C62" s="4">
        <v>1</v>
      </c>
      <c r="D62" s="1" t="s">
        <v>8</v>
      </c>
      <c r="E62" s="1" t="s">
        <v>8</v>
      </c>
      <c r="F62" s="1" t="s">
        <v>8</v>
      </c>
      <c r="G62" s="1" t="s">
        <v>8</v>
      </c>
      <c r="H62" s="1" t="s">
        <v>8</v>
      </c>
      <c r="I62" s="1" t="s">
        <v>8</v>
      </c>
      <c r="J62" s="1" t="s">
        <v>8</v>
      </c>
      <c r="K62" s="1" t="s">
        <v>8</v>
      </c>
      <c r="L62" s="1" t="s">
        <v>8</v>
      </c>
    </row>
    <row r="63" spans="1:12" x14ac:dyDescent="0.25">
      <c r="A63" s="1">
        <v>14</v>
      </c>
      <c r="B63" s="4" t="s">
        <v>8</v>
      </c>
      <c r="C63" s="4">
        <v>2</v>
      </c>
      <c r="D63" s="1">
        <v>131905052962183</v>
      </c>
      <c r="E63" s="1" t="s">
        <v>8</v>
      </c>
      <c r="F63" s="1" t="s">
        <v>8</v>
      </c>
      <c r="G63" s="1" t="s">
        <v>8</v>
      </c>
      <c r="H63" s="1" t="s">
        <v>8</v>
      </c>
      <c r="I63" s="1" t="s">
        <v>8</v>
      </c>
      <c r="J63" s="1" t="s">
        <v>8</v>
      </c>
      <c r="K63" s="1" t="s">
        <v>8</v>
      </c>
      <c r="L63" s="1" t="s">
        <v>8</v>
      </c>
    </row>
    <row r="64" spans="1:12" x14ac:dyDescent="0.25">
      <c r="A64" s="1">
        <v>27</v>
      </c>
      <c r="B64" s="4" t="s">
        <v>8</v>
      </c>
      <c r="C64" s="4">
        <v>3</v>
      </c>
      <c r="D64" s="1">
        <v>152405318106469</v>
      </c>
      <c r="E64" s="1" t="s">
        <v>8</v>
      </c>
      <c r="F64" s="1" t="s">
        <v>8</v>
      </c>
      <c r="G64" s="1" t="s">
        <v>8</v>
      </c>
      <c r="H64" s="1" t="s">
        <v>8</v>
      </c>
      <c r="I64" s="1" t="s">
        <v>8</v>
      </c>
      <c r="J64" s="1" t="s">
        <v>8</v>
      </c>
      <c r="K64" s="1" t="s">
        <v>8</v>
      </c>
      <c r="L64" s="1" t="s">
        <v>8</v>
      </c>
    </row>
    <row r="66" spans="1:3" s="10" customFormat="1" x14ac:dyDescent="0.25">
      <c r="A66" s="9" t="s">
        <v>149</v>
      </c>
      <c r="B66" s="9" t="s">
        <v>152</v>
      </c>
    </row>
    <row r="67" spans="1:3" s="10" customFormat="1" x14ac:dyDescent="0.25">
      <c r="A67" s="11">
        <v>1</v>
      </c>
      <c r="B67" s="11" t="s">
        <v>29</v>
      </c>
    </row>
    <row r="68" spans="1:3" s="10" customFormat="1" x14ac:dyDescent="0.25">
      <c r="A68" s="11">
        <v>2</v>
      </c>
      <c r="B68" s="11" t="s">
        <v>150</v>
      </c>
    </row>
    <row r="69" spans="1:3" s="10" customFormat="1" x14ac:dyDescent="0.25">
      <c r="A69" s="11">
        <v>3</v>
      </c>
      <c r="B69" s="11" t="s">
        <v>151</v>
      </c>
    </row>
    <row r="71" spans="1:3" x14ac:dyDescent="0.25">
      <c r="A71" s="2" t="s">
        <v>123</v>
      </c>
      <c r="B71" s="2" t="s">
        <v>124</v>
      </c>
      <c r="C71" s="2" t="s">
        <v>127</v>
      </c>
    </row>
    <row r="72" spans="1:3" x14ac:dyDescent="0.25">
      <c r="A72" s="5">
        <v>1</v>
      </c>
      <c r="B72" s="4">
        <v>1</v>
      </c>
      <c r="C72" s="1" t="s">
        <v>42</v>
      </c>
    </row>
    <row r="73" spans="1:3" x14ac:dyDescent="0.25">
      <c r="A73" s="5">
        <v>2</v>
      </c>
      <c r="B73" s="4">
        <v>2</v>
      </c>
      <c r="C73" s="1">
        <v>14</v>
      </c>
    </row>
    <row r="74" spans="1:3" x14ac:dyDescent="0.25">
      <c r="A74" s="5">
        <v>3</v>
      </c>
      <c r="B74" s="4">
        <v>3</v>
      </c>
      <c r="C74" s="1">
        <v>27</v>
      </c>
    </row>
    <row r="76" spans="1:3" x14ac:dyDescent="0.25">
      <c r="A76" s="2" t="s">
        <v>125</v>
      </c>
      <c r="B76" s="2" t="s">
        <v>128</v>
      </c>
      <c r="C76" s="2" t="s">
        <v>126</v>
      </c>
    </row>
    <row r="77" spans="1:3" x14ac:dyDescent="0.25">
      <c r="A77" s="5">
        <v>1</v>
      </c>
      <c r="B77" s="4" t="s">
        <v>8</v>
      </c>
      <c r="C77" s="1" t="s">
        <v>42</v>
      </c>
    </row>
    <row r="78" spans="1:3" x14ac:dyDescent="0.25">
      <c r="A78" s="5">
        <v>2</v>
      </c>
      <c r="B78" s="4">
        <v>14</v>
      </c>
      <c r="C78" s="1" t="s">
        <v>43</v>
      </c>
    </row>
    <row r="79" spans="1:3" x14ac:dyDescent="0.25">
      <c r="A79" s="5">
        <v>3</v>
      </c>
      <c r="B79" s="4">
        <v>27</v>
      </c>
      <c r="C79" s="1" t="s">
        <v>44</v>
      </c>
    </row>
    <row r="81" spans="1:16" s="10" customFormat="1" x14ac:dyDescent="0.25">
      <c r="A81" s="9" t="s">
        <v>129</v>
      </c>
      <c r="B81" s="9" t="s">
        <v>130</v>
      </c>
    </row>
    <row r="82" spans="1:16" s="10" customFormat="1" x14ac:dyDescent="0.25">
      <c r="A82" s="11" t="s">
        <v>8</v>
      </c>
      <c r="B82" s="9" t="s">
        <v>8</v>
      </c>
    </row>
    <row r="83" spans="1:16" s="10" customFormat="1" x14ac:dyDescent="0.25">
      <c r="A83" s="11">
        <v>14</v>
      </c>
      <c r="B83" s="9" t="s">
        <v>8</v>
      </c>
    </row>
    <row r="84" spans="1:16" s="10" customFormat="1" x14ac:dyDescent="0.25">
      <c r="A84" s="11">
        <v>27</v>
      </c>
      <c r="B84" s="9" t="s">
        <v>8</v>
      </c>
    </row>
    <row r="85" spans="1:16" x14ac:dyDescent="0.25">
      <c r="B85" s="6"/>
    </row>
    <row r="86" spans="1:16" x14ac:dyDescent="0.25">
      <c r="A86" s="2" t="s">
        <v>131</v>
      </c>
      <c r="B86" s="2" t="s">
        <v>132</v>
      </c>
      <c r="C86" s="2" t="s">
        <v>133</v>
      </c>
      <c r="D86" s="2" t="s">
        <v>134</v>
      </c>
      <c r="E86" s="2" t="s">
        <v>135</v>
      </c>
      <c r="F86" s="2" t="s">
        <v>136</v>
      </c>
      <c r="G86" s="2" t="s">
        <v>137</v>
      </c>
    </row>
    <row r="87" spans="1:16" x14ac:dyDescent="0.25">
      <c r="A87" s="1" t="s">
        <v>8</v>
      </c>
      <c r="B87" s="7">
        <v>45931</v>
      </c>
      <c r="C87" s="7" t="s">
        <v>45</v>
      </c>
      <c r="D87" s="4">
        <v>1</v>
      </c>
      <c r="E87" s="1" t="s">
        <v>8</v>
      </c>
      <c r="F87" s="1"/>
      <c r="G87" s="1" t="s">
        <v>8</v>
      </c>
    </row>
    <row r="88" spans="1:16" x14ac:dyDescent="0.25">
      <c r="A88" s="1" t="s">
        <v>8</v>
      </c>
      <c r="B88" s="7">
        <v>45940</v>
      </c>
      <c r="C88" s="7" t="s">
        <v>46</v>
      </c>
      <c r="D88" s="4">
        <v>2</v>
      </c>
      <c r="E88" s="1" t="s">
        <v>8</v>
      </c>
      <c r="F88" s="1"/>
      <c r="G88" s="1" t="s">
        <v>8</v>
      </c>
    </row>
    <row r="89" spans="1:16" x14ac:dyDescent="0.25">
      <c r="A89" s="1" t="s">
        <v>8</v>
      </c>
      <c r="B89" s="7">
        <v>45505</v>
      </c>
      <c r="C89" s="7" t="s">
        <v>45</v>
      </c>
      <c r="D89" s="4">
        <v>3</v>
      </c>
      <c r="E89" s="1" t="s">
        <v>8</v>
      </c>
      <c r="F89" s="1"/>
      <c r="G89" s="1" t="s">
        <v>8</v>
      </c>
    </row>
    <row r="91" spans="1:16" x14ac:dyDescent="0.25">
      <c r="A91" s="2" t="s">
        <v>138</v>
      </c>
      <c r="B91" s="2" t="s">
        <v>139</v>
      </c>
      <c r="C91" s="2" t="s">
        <v>165</v>
      </c>
      <c r="D91" s="2" t="s">
        <v>166</v>
      </c>
      <c r="E91" s="2" t="s">
        <v>167</v>
      </c>
      <c r="F91" s="2" t="s">
        <v>155</v>
      </c>
      <c r="G91" s="2" t="s">
        <v>156</v>
      </c>
      <c r="H91" s="2" t="s">
        <v>158</v>
      </c>
      <c r="I91" s="2" t="s">
        <v>141</v>
      </c>
      <c r="J91" s="2" t="s">
        <v>142</v>
      </c>
      <c r="K91" s="2" t="s">
        <v>143</v>
      </c>
      <c r="L91" s="2" t="s">
        <v>1</v>
      </c>
      <c r="M91" s="2" t="s">
        <v>2</v>
      </c>
      <c r="N91" s="2" t="s">
        <v>3</v>
      </c>
      <c r="O91" s="2" t="s">
        <v>4</v>
      </c>
      <c r="P91" s="2" t="s">
        <v>5</v>
      </c>
    </row>
    <row r="92" spans="1:16" x14ac:dyDescent="0.25">
      <c r="A92" s="1" t="s">
        <v>8</v>
      </c>
      <c r="B92" s="4">
        <v>1</v>
      </c>
      <c r="C92" s="8">
        <v>1</v>
      </c>
      <c r="D92" s="3">
        <v>45931</v>
      </c>
      <c r="E92" s="3"/>
      <c r="F92" s="5">
        <v>0</v>
      </c>
      <c r="G92" s="3">
        <v>45931</v>
      </c>
      <c r="H92" s="1">
        <v>1</v>
      </c>
      <c r="I92" s="1" t="s">
        <v>8</v>
      </c>
      <c r="J92" s="1" t="s">
        <v>8</v>
      </c>
      <c r="K92" s="1" t="s">
        <v>8</v>
      </c>
      <c r="L92" s="1" t="s">
        <v>8</v>
      </c>
      <c r="M92" s="1" t="s">
        <v>8</v>
      </c>
      <c r="N92" s="1" t="s">
        <v>8</v>
      </c>
      <c r="O92" s="1" t="s">
        <v>8</v>
      </c>
      <c r="P92" s="1" t="s">
        <v>8</v>
      </c>
    </row>
    <row r="93" spans="1:16" x14ac:dyDescent="0.25">
      <c r="A93" s="1" t="s">
        <v>8</v>
      </c>
      <c r="B93" s="4">
        <v>2</v>
      </c>
      <c r="C93" s="8">
        <v>2</v>
      </c>
      <c r="D93" s="3">
        <v>45940</v>
      </c>
      <c r="E93" s="3"/>
      <c r="F93" s="5">
        <v>0</v>
      </c>
      <c r="G93" s="3">
        <v>45931</v>
      </c>
      <c r="H93" s="1">
        <v>2</v>
      </c>
      <c r="I93" s="1" t="s">
        <v>8</v>
      </c>
      <c r="J93" s="1" t="s">
        <v>8</v>
      </c>
      <c r="K93" s="1" t="s">
        <v>8</v>
      </c>
      <c r="L93" s="1" t="s">
        <v>8</v>
      </c>
      <c r="M93" s="1" t="s">
        <v>8</v>
      </c>
      <c r="N93" s="1" t="s">
        <v>8</v>
      </c>
      <c r="O93" s="1" t="s">
        <v>8</v>
      </c>
      <c r="P93" s="1" t="s">
        <v>8</v>
      </c>
    </row>
    <row r="94" spans="1:16" x14ac:dyDescent="0.25">
      <c r="A94" s="1" t="s">
        <v>8</v>
      </c>
      <c r="B94" s="4">
        <v>3</v>
      </c>
      <c r="C94" s="8">
        <v>3</v>
      </c>
      <c r="D94" s="3">
        <v>45505</v>
      </c>
      <c r="E94" s="3"/>
      <c r="F94" s="5">
        <v>0</v>
      </c>
      <c r="G94" s="3">
        <v>45931</v>
      </c>
      <c r="H94" s="1">
        <v>3</v>
      </c>
      <c r="I94" s="1" t="s">
        <v>8</v>
      </c>
      <c r="J94" s="1" t="s">
        <v>8</v>
      </c>
      <c r="K94" s="1" t="s">
        <v>8</v>
      </c>
      <c r="L94" s="1" t="s">
        <v>8</v>
      </c>
      <c r="M94" s="1" t="s">
        <v>8</v>
      </c>
      <c r="N94" s="1" t="s">
        <v>8</v>
      </c>
      <c r="O94" s="1" t="s">
        <v>8</v>
      </c>
      <c r="P94" s="1" t="s">
        <v>8</v>
      </c>
    </row>
    <row r="97" spans="1:6" s="10" customFormat="1" x14ac:dyDescent="0.25">
      <c r="A97" s="9" t="s">
        <v>154</v>
      </c>
      <c r="B97" s="9" t="s">
        <v>144</v>
      </c>
      <c r="C97" s="9" t="s">
        <v>145</v>
      </c>
    </row>
    <row r="98" spans="1:6" s="10" customFormat="1" x14ac:dyDescent="0.25">
      <c r="A98" s="12">
        <v>45931</v>
      </c>
      <c r="B98" s="12" t="s">
        <v>45</v>
      </c>
      <c r="C98" s="13">
        <v>5.4443999999999999</v>
      </c>
    </row>
    <row r="99" spans="1:6" s="10" customFormat="1" x14ac:dyDescent="0.25">
      <c r="A99" s="12">
        <v>45940</v>
      </c>
      <c r="B99" s="12" t="s">
        <v>46</v>
      </c>
      <c r="C99" s="13">
        <v>5.4443999999999999</v>
      </c>
    </row>
    <row r="100" spans="1:6" s="10" customFormat="1" x14ac:dyDescent="0.25">
      <c r="A100" s="12">
        <v>45505</v>
      </c>
      <c r="B100" s="12" t="s">
        <v>45</v>
      </c>
      <c r="C100" s="13">
        <v>5.4443999999999999</v>
      </c>
    </row>
    <row r="103" spans="1:6" s="10" customFormat="1" x14ac:dyDescent="0.25">
      <c r="A103" s="9" t="s">
        <v>158</v>
      </c>
      <c r="B103" s="9" t="s">
        <v>140</v>
      </c>
      <c r="C103" s="9" t="s">
        <v>159</v>
      </c>
      <c r="D103" s="9" t="s">
        <v>160</v>
      </c>
      <c r="E103" s="9" t="s">
        <v>161</v>
      </c>
      <c r="F103" s="9" t="s">
        <v>162</v>
      </c>
    </row>
    <row r="104" spans="1:6" s="10" customFormat="1" x14ac:dyDescent="0.25">
      <c r="A104" s="11">
        <v>1</v>
      </c>
      <c r="B104" s="11">
        <v>73181500</v>
      </c>
      <c r="C104" s="11">
        <v>18</v>
      </c>
      <c r="D104" s="11">
        <v>5</v>
      </c>
      <c r="E104" s="11">
        <v>2.1</v>
      </c>
      <c r="F104" s="11">
        <v>10.65</v>
      </c>
    </row>
    <row r="105" spans="1:6" s="10" customFormat="1" x14ac:dyDescent="0.25">
      <c r="A105" s="11">
        <v>2</v>
      </c>
      <c r="B105" s="11">
        <v>73191500</v>
      </c>
      <c r="C105" s="11">
        <v>11.2</v>
      </c>
      <c r="D105" s="11">
        <v>0</v>
      </c>
      <c r="E105" s="11">
        <v>2.1</v>
      </c>
      <c r="F105" s="11">
        <v>10.65</v>
      </c>
    </row>
    <row r="106" spans="1:6" s="10" customFormat="1" x14ac:dyDescent="0.25">
      <c r="A106" s="11">
        <v>3</v>
      </c>
      <c r="B106" s="11">
        <v>73201500</v>
      </c>
      <c r="C106" s="11">
        <v>11.2</v>
      </c>
      <c r="D106" s="11">
        <v>11</v>
      </c>
      <c r="E106" s="11">
        <v>2.1</v>
      </c>
      <c r="F106" s="11">
        <v>10.65</v>
      </c>
    </row>
  </sheetData>
  <pageMargins left="0.511811024" right="0.511811024" top="0.78740157499999996" bottom="0.78740157499999996" header="0.31496062000000002" footer="0.31496062000000002"/>
  <pageSetup paperSize="9" scale="19" orientation="portrait" r:id="rId1"/>
  <colBreaks count="1" manualBreakCount="1">
    <brk id="16" max="11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Planilha1</vt:lpstr>
      <vt:lpstr>Planilha1!Area_de_impressao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Silveira</dc:creator>
  <cp:lastModifiedBy>Marcus Paiva</cp:lastModifiedBy>
  <dcterms:created xsi:type="dcterms:W3CDTF">2025-10-26T16:34:41Z</dcterms:created>
  <dcterms:modified xsi:type="dcterms:W3CDTF">2025-11-02T00:53:33Z</dcterms:modified>
</cp:coreProperties>
</file>