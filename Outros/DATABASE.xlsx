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bc931049337c22c4/Documentos/Programacao/Projetos/Processos Temporários/Outros/"/>
    </mc:Choice>
  </mc:AlternateContent>
  <xr:revisionPtr revIDLastSave="4" documentId="13_ncr:1_{825DD02F-FB3A-4DFD-841B-2B9D1EE03FAF}" xr6:coauthVersionLast="47" xr6:coauthVersionMax="47" xr10:uidLastSave="{2277A2FF-8DA9-4904-811E-D20C5E837346}"/>
  <bookViews>
    <workbookView xWindow="-120" yWindow="-120" windowWidth="20730" windowHeight="11040" tabRatio="731" firstSheet="1" activeTab="1" xr2:uid="{1E3CF625-951B-4495-973B-3B8BB69DDC2A}"/>
  </bookViews>
  <sheets>
    <sheet name="Main" sheetId="1" r:id="rId1"/>
    <sheet name="TB_DECLARACAO" sheetId="5" r:id="rId2"/>
    <sheet name="TB_CE_MERCANTE" sheetId="7" r:id="rId3"/>
    <sheet name="TB_RECINTO_ALFANDEGADO" sheetId="2" r:id="rId4"/>
    <sheet name="TB_APOLICE" sheetId="4" r:id="rId5"/>
    <sheet name="TB_CONTRATO" sheetId="3" r:id="rId6"/>
    <sheet name="TB_CNPJ" sheetId="6" r:id="rId7"/>
    <sheet name="tCidade" sheetId="8" r:id="rId8"/>
    <sheet name="Consulta1" sheetId="10" r:id="rId9"/>
    <sheet name="Planilha1" sheetId="9" r:id="rId10"/>
  </sheets>
  <definedNames>
    <definedName name="_xlnm._FilterDatabase" localSheetId="0" hidden="1">Main!$B$2:$T$56</definedName>
    <definedName name="_xlnm._FilterDatabase" localSheetId="4" hidden="1">TB_APOLICE!$A$1:$J$55</definedName>
    <definedName name="_xlnm._FilterDatabase" localSheetId="2" hidden="1">TB_CE_MERCANTE!$C$1:$E$55</definedName>
    <definedName name="_xlnm._FilterDatabase" localSheetId="3" hidden="1">TB_RECINTO_ALFANDEGADO!$K$2:$K$20</definedName>
    <definedName name="DadosExternos_1" localSheetId="8" hidden="1">'Consulta1'!$A$1:$P$55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5" l="1"/>
  <c r="A11" i="5"/>
  <c r="X3" i="1" a="1"/>
  <c r="X3" i="1" s="1"/>
  <c r="W3" i="1" a="1"/>
  <c r="W3" i="1" s="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3" i="1"/>
  <c r="H2" i="6" a="1"/>
  <c r="H2" i="6" s="1"/>
  <c r="K4" i="6"/>
  <c r="K8" i="6"/>
  <c r="K12" i="6"/>
  <c r="J2" i="6" a="1"/>
  <c r="J2" i="6" s="1"/>
  <c r="K2" i="6" s="1"/>
  <c r="F70" i="5"/>
  <c r="B57" i="4" a="1"/>
  <c r="B57" i="4" s="1"/>
  <c r="A2" i="3" a="1"/>
  <c r="A2" i="3" s="1"/>
  <c r="J2" i="5" a="1"/>
  <c r="J2" i="5" s="1"/>
  <c r="H2" i="7" a="1"/>
  <c r="H2" i="7" s="1"/>
  <c r="D2" i="5" a="1"/>
  <c r="D2" i="5" s="1"/>
  <c r="I2" i="5" s="1" a="1"/>
  <c r="I2" i="5" s="1"/>
  <c r="B2" i="5" a="1"/>
  <c r="B2" i="5" s="1"/>
  <c r="B1" i="1" a="1"/>
  <c r="B1" i="1" s="1"/>
  <c r="B2" i="6" a="1"/>
  <c r="B2" i="6" s="1"/>
  <c r="L2" i="6" s="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2" i="3"/>
  <c r="D2" i="7" a="1"/>
  <c r="D2" i="7" s="1"/>
  <c r="K2" i="2" a="1"/>
  <c r="K2" i="2" s="1"/>
  <c r="L2" i="2" s="1" a="1"/>
  <c r="L2" i="2" s="1"/>
  <c r="C2" i="7" a="1"/>
  <c r="C2" i="7" s="1"/>
  <c r="E2" i="7" s="1"/>
  <c r="M2" i="5" l="1" a="1"/>
  <c r="M2" i="5" s="1"/>
  <c r="N2" i="5" a="1"/>
  <c r="N2" i="5" s="1"/>
  <c r="H2" i="5" a="1"/>
  <c r="H2" i="5" s="1"/>
  <c r="L2" i="5" a="1"/>
  <c r="L2" i="5" s="1"/>
  <c r="K11" i="6"/>
  <c r="K7" i="6"/>
  <c r="K3" i="6"/>
  <c r="K10" i="6"/>
  <c r="K6" i="6"/>
  <c r="K13" i="6"/>
  <c r="K9" i="6"/>
  <c r="K5" i="6"/>
  <c r="A2" i="6" a="1"/>
  <c r="A2" i="6" s="1"/>
  <c r="C2" i="5" s="1" a="1"/>
  <c r="L13" i="6"/>
  <c r="L9" i="6"/>
  <c r="L5" i="6"/>
  <c r="L12" i="6"/>
  <c r="L8" i="6"/>
  <c r="L4" i="6"/>
  <c r="L11" i="6"/>
  <c r="L7" i="6"/>
  <c r="L3" i="6"/>
  <c r="L10" i="6"/>
  <c r="L6" i="6"/>
  <c r="E54" i="7"/>
  <c r="E50" i="7"/>
  <c r="E46" i="7"/>
  <c r="E42" i="7"/>
  <c r="E38" i="7"/>
  <c r="E34" i="7"/>
  <c r="E30" i="7"/>
  <c r="E26" i="7"/>
  <c r="E22" i="7"/>
  <c r="E18" i="7"/>
  <c r="E14" i="7"/>
  <c r="E10" i="7"/>
  <c r="E6" i="7"/>
  <c r="E53" i="7"/>
  <c r="E49" i="7"/>
  <c r="E45" i="7"/>
  <c r="E41" i="7"/>
  <c r="E37" i="7"/>
  <c r="E33" i="7"/>
  <c r="E29" i="7"/>
  <c r="E25" i="7"/>
  <c r="E21" i="7"/>
  <c r="E17" i="7"/>
  <c r="E13" i="7"/>
  <c r="E9" i="7"/>
  <c r="E5" i="7"/>
  <c r="E52" i="7"/>
  <c r="E48" i="7"/>
  <c r="E44" i="7"/>
  <c r="E40" i="7"/>
  <c r="E36" i="7"/>
  <c r="E32" i="7"/>
  <c r="E28" i="7"/>
  <c r="E24" i="7"/>
  <c r="E20" i="7"/>
  <c r="E16" i="7"/>
  <c r="E12" i="7"/>
  <c r="E8" i="7"/>
  <c r="E4" i="7"/>
  <c r="E55" i="7"/>
  <c r="E51" i="7"/>
  <c r="E47" i="7"/>
  <c r="E43" i="7"/>
  <c r="E39" i="7"/>
  <c r="E35" i="7"/>
  <c r="E31" i="7"/>
  <c r="E27" i="7"/>
  <c r="E23" i="7"/>
  <c r="E19" i="7"/>
  <c r="E15" i="7"/>
  <c r="E11" i="7"/>
  <c r="E7" i="7"/>
  <c r="E3" i="7"/>
  <c r="M2" i="2" a="1"/>
  <c r="M2" i="2" s="1"/>
  <c r="N2" i="2" s="1" a="1"/>
  <c r="N2" i="2" s="1"/>
  <c r="O2" i="2" s="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3" i="1"/>
  <c r="A2" i="2" a="1"/>
  <c r="A2" i="2" s="1"/>
  <c r="I56" i="1"/>
  <c r="H56" i="1" s="1"/>
  <c r="I55" i="1"/>
  <c r="H55" i="1" s="1"/>
  <c r="I54" i="1"/>
  <c r="H54" i="1" s="1"/>
  <c r="I53" i="1"/>
  <c r="H53" i="1" s="1"/>
  <c r="I52" i="1"/>
  <c r="H52" i="1" s="1"/>
  <c r="I51" i="1"/>
  <c r="H51" i="1" s="1"/>
  <c r="I50" i="1"/>
  <c r="H50" i="1" s="1"/>
  <c r="I49" i="1"/>
  <c r="H49" i="1" s="1"/>
  <c r="I48" i="1"/>
  <c r="H48" i="1" s="1"/>
  <c r="I47" i="1"/>
  <c r="H47" i="1" s="1"/>
  <c r="I46" i="1"/>
  <c r="H46" i="1" s="1"/>
  <c r="I45" i="1"/>
  <c r="H45" i="1" s="1"/>
  <c r="I44" i="1"/>
  <c r="H44" i="1" s="1"/>
  <c r="I43" i="1"/>
  <c r="H43" i="1" s="1"/>
  <c r="I42" i="1"/>
  <c r="H42" i="1" s="1"/>
  <c r="I41" i="1"/>
  <c r="H41" i="1" s="1"/>
  <c r="I40" i="1"/>
  <c r="H40" i="1" s="1"/>
  <c r="I39" i="1"/>
  <c r="H39" i="1" s="1"/>
  <c r="I38" i="1"/>
  <c r="H38" i="1" s="1"/>
  <c r="I37" i="1"/>
  <c r="H37" i="1" s="1"/>
  <c r="I36" i="1"/>
  <c r="H36" i="1" s="1"/>
  <c r="I35" i="1"/>
  <c r="H35" i="1" s="1"/>
  <c r="I34" i="1"/>
  <c r="H34" i="1" s="1"/>
  <c r="I33" i="1"/>
  <c r="H33" i="1" s="1"/>
  <c r="I32" i="1"/>
  <c r="H32" i="1" s="1"/>
  <c r="I31" i="1"/>
  <c r="H31" i="1" s="1"/>
  <c r="I30" i="1"/>
  <c r="H30" i="1" s="1"/>
  <c r="I29" i="1"/>
  <c r="H29" i="1" s="1"/>
  <c r="I28" i="1"/>
  <c r="H28" i="1" s="1"/>
  <c r="I27" i="1"/>
  <c r="H27" i="1" s="1"/>
  <c r="I26" i="1"/>
  <c r="H26" i="1" s="1"/>
  <c r="I25" i="1"/>
  <c r="H25" i="1" s="1"/>
  <c r="I24" i="1"/>
  <c r="H24" i="1" s="1"/>
  <c r="I23" i="1"/>
  <c r="H23" i="1" s="1"/>
  <c r="I22" i="1"/>
  <c r="H22" i="1" s="1"/>
  <c r="I21" i="1"/>
  <c r="H21" i="1" s="1"/>
  <c r="I20" i="1"/>
  <c r="H20" i="1" s="1"/>
  <c r="I19" i="1"/>
  <c r="H19" i="1" s="1"/>
  <c r="I18" i="1"/>
  <c r="H18" i="1" s="1"/>
  <c r="I17" i="1"/>
  <c r="H17" i="1" s="1"/>
  <c r="I16" i="1"/>
  <c r="H16" i="1" s="1"/>
  <c r="I15" i="1"/>
  <c r="H15" i="1" s="1"/>
  <c r="I14" i="1"/>
  <c r="H14" i="1" s="1"/>
  <c r="I13" i="1"/>
  <c r="H13" i="1" s="1"/>
  <c r="I12" i="1"/>
  <c r="H12" i="1" s="1"/>
  <c r="I11" i="1"/>
  <c r="H11" i="1" s="1"/>
  <c r="I10" i="1"/>
  <c r="H10" i="1" s="1"/>
  <c r="I9" i="1"/>
  <c r="H9" i="1" s="1"/>
  <c r="I8" i="1"/>
  <c r="H8" i="1" s="1"/>
  <c r="I7" i="1"/>
  <c r="H7" i="1" s="1"/>
  <c r="I6" i="1"/>
  <c r="H6" i="1" s="1"/>
  <c r="I5" i="1"/>
  <c r="H5" i="1" s="1"/>
  <c r="I4" i="1"/>
  <c r="H4" i="1" s="1"/>
  <c r="I3" i="1"/>
  <c r="H3" i="1" s="1"/>
  <c r="C2" i="5" l="1"/>
  <c r="O2" i="5" s="1"/>
  <c r="O39" i="5"/>
  <c r="O4" i="5"/>
  <c r="O8" i="5"/>
  <c r="O12" i="5"/>
  <c r="O16" i="5"/>
  <c r="O20" i="5"/>
  <c r="O24" i="5"/>
  <c r="O28" i="5"/>
  <c r="O32" i="5"/>
  <c r="O36" i="5"/>
  <c r="O40" i="5"/>
  <c r="O44" i="5"/>
  <c r="O48" i="5"/>
  <c r="O52" i="5"/>
  <c r="O26" i="5"/>
  <c r="O30" i="5"/>
  <c r="O34" i="5"/>
  <c r="O38" i="5"/>
  <c r="O42" i="5"/>
  <c r="O46" i="5"/>
  <c r="O50" i="5"/>
  <c r="O54" i="5"/>
  <c r="O5" i="5"/>
  <c r="O9" i="5"/>
  <c r="O13" i="5"/>
  <c r="O17" i="5"/>
  <c r="O21" i="5"/>
  <c r="O25" i="5"/>
  <c r="O29" i="5"/>
  <c r="O33" i="5"/>
  <c r="O37" i="5"/>
  <c r="O41" i="5"/>
  <c r="O45" i="5"/>
  <c r="O49" i="5"/>
  <c r="O53" i="5"/>
  <c r="O6" i="5"/>
  <c r="O10" i="5"/>
  <c r="O14" i="5"/>
  <c r="O18" i="5"/>
  <c r="O22" i="5"/>
  <c r="O3" i="5"/>
  <c r="O7" i="5"/>
  <c r="O11" i="5"/>
  <c r="O15" i="5"/>
  <c r="O19" i="5"/>
  <c r="O23" i="5"/>
  <c r="O27" i="5"/>
  <c r="O31" i="5"/>
  <c r="O35" i="5"/>
  <c r="O43" i="5"/>
  <c r="O47" i="5"/>
  <c r="O51" i="5"/>
  <c r="O55" i="5"/>
  <c r="O8" i="2"/>
  <c r="O5" i="2"/>
  <c r="O18" i="2"/>
  <c r="O15" i="2"/>
  <c r="O12" i="2"/>
  <c r="O9" i="2"/>
  <c r="O6" i="2"/>
  <c r="O3" i="2"/>
  <c r="O19" i="2"/>
  <c r="O16" i="2"/>
  <c r="O13" i="2"/>
  <c r="O10" i="2"/>
  <c r="O7" i="2"/>
  <c r="O4" i="2"/>
  <c r="O20" i="2"/>
  <c r="O17" i="2"/>
  <c r="O14" i="2"/>
  <c r="O11" i="2"/>
  <c r="B2" i="2" a="1"/>
  <c r="B2" i="2" s="1"/>
  <c r="B50" i="2" a="1"/>
  <c r="B50" i="2" s="1"/>
  <c r="B47" i="2" a="1"/>
  <c r="B47" i="2" s="1"/>
  <c r="B7" i="2" a="1"/>
  <c r="B7" i="2" s="1"/>
  <c r="B35" i="2" a="1"/>
  <c r="B35" i="2" s="1"/>
  <c r="B53" i="2" a="1"/>
  <c r="B53" i="2" s="1"/>
  <c r="B3" i="2" a="1"/>
  <c r="B3" i="2" s="1"/>
  <c r="B36" i="2" a="1"/>
  <c r="B36" i="2" s="1"/>
  <c r="B54" i="2" a="1"/>
  <c r="B54" i="2" s="1"/>
  <c r="B6" i="2" a="1"/>
  <c r="B6" i="2" s="1"/>
  <c r="B48" i="2" a="1"/>
  <c r="B48" i="2" s="1"/>
  <c r="F2" i="4" l="1" a="1"/>
  <c r="F2" i="4" s="1"/>
  <c r="G2" i="4" s="1" a="1"/>
  <c r="C2" i="2" a="1"/>
  <c r="C2" i="2" s="1"/>
  <c r="G2" i="4" l="1"/>
  <c r="I7" i="4"/>
  <c r="I37" i="4"/>
  <c r="I26" i="4"/>
  <c r="I27" i="4"/>
  <c r="I24" i="4"/>
  <c r="I15" i="4"/>
  <c r="I5" i="4"/>
  <c r="I39" i="4"/>
  <c r="I42" i="4"/>
  <c r="I36" i="4"/>
  <c r="I19" i="4"/>
  <c r="I16" i="4"/>
  <c r="I17" i="4"/>
  <c r="I13" i="4"/>
  <c r="I43" i="4"/>
  <c r="I25" i="4"/>
  <c r="I20" i="4"/>
  <c r="I22" i="4"/>
  <c r="I1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576E9E-6C43-4701-8ECA-B15E90C06577}" keepAlive="1" name="Consulta - Consulta1" description="Conexão com a consulta 'Consulta1' na pasta de trabalho." type="5" refreshedVersion="8" background="1" saveData="1">
    <dbPr connection="Provider=Microsoft.Mashup.OleDb.1;Data Source=$Workbook$;Location=Consulta1;Extended Properties=&quot;&quot;" command="SELECT * FROM [Consulta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<sst xmlns="http://schemas.openxmlformats.org/spreadsheetml/2006/main" count="1711" uniqueCount="733">
  <si>
    <t>CLIENTE</t>
  </si>
  <si>
    <t>DI /DSI
DDE/DSE/DU-E</t>
  </si>
  <si>
    <t>N/REF</t>
  </si>
  <si>
    <t>S/REF</t>
  </si>
  <si>
    <t>AFRMM</t>
  </si>
  <si>
    <t>CE MERCANTE</t>
  </si>
  <si>
    <t>Alerta</t>
  </si>
  <si>
    <t>Prazo
Contrato</t>
  </si>
  <si>
    <t>Contrato</t>
  </si>
  <si>
    <t>Descrição da Mercadoria</t>
  </si>
  <si>
    <t>PRAZO 
SOLICITADO</t>
  </si>
  <si>
    <t>Data de
Registro</t>
  </si>
  <si>
    <t>Data de
Desembaraço</t>
  </si>
  <si>
    <t>Unidade de Desembaraço</t>
  </si>
  <si>
    <t>CNPJ/MF 
PROCESSO</t>
  </si>
  <si>
    <t>Processo Nacional</t>
  </si>
  <si>
    <t>DOSSIE</t>
  </si>
  <si>
    <t>PRAZO APOLICE (cobrar quando data estiver vermelha)</t>
  </si>
  <si>
    <t>Histórico</t>
  </si>
  <si>
    <t>MAMMOET</t>
  </si>
  <si>
    <t>I-22/0968-MBG</t>
  </si>
  <si>
    <t>SUSPENSA</t>
  </si>
  <si>
    <t>CONTRATO DE LOCAÇÃO S/NR</t>
  </si>
  <si>
    <t>DISTRIBUIDOR DE CARGA METALICO, Fabricante Mammoet Lifting and Transport SAS, Modelo: HEB300- S235, ANO DE FABRICACAO: 2020, USADO,NUMERO DE EQUIPAMENTO: 200812-001; 200812-002; 200812-003; 200812-004; 200812-005; 200812-006; 200812-009; 200812-010.</t>
  </si>
  <si>
    <t>28/11/2024 (REEXPORTADO)</t>
  </si>
  <si>
    <t>IRF - PORTO DE SUAPE</t>
  </si>
  <si>
    <t>29/11/2024 - Reexportado através dos processos E-24/0382-MBG e E-24/0384-MBG
30/09/2024 - Cobrado procedimento a ser adotado
27/06/2024 - Juntada efetuada
27/06/2024 - Docs recebidos
17/06/2024 - Nuerario enviado, ag retorno
13/06/2024 - Prorrogação por mais 5 meses
03/06/2024 - Cobrado novamente
30/04/2024 - Cobrado procedimento a ser adotado
27/12/2023 - Juntada efetuada.
01/12/2023 - Enviado Numerario e RPR, ag retorno
22/11/2023 - Solicitado prorrogação por mais 6 meses
30/10/2023 - Cobrado procedimento a ser adotado
27/06/2023 - Juntada efetuada pelo DOSSIE
21/06/2023 - Documentação recebida
01/06/2023 - Cobrado novamente
03/05/2023 - Cobrado procedimento a ser adotado
22/09/2022 - Processo incluido no controle</t>
  </si>
  <si>
    <t>I-24/0271-MBG</t>
  </si>
  <si>
    <t>CABOS E CONTRAPESO</t>
  </si>
  <si>
    <t>CONTRATODE COMODATO DE 12/03/2024</t>
  </si>
  <si>
    <t>CABOS DE AÇO, GALVANIZADO PARA GUINDASTE</t>
  </si>
  <si>
    <t>03/12/2024 (REEXPORTADO)</t>
  </si>
  <si>
    <t>INST.PORT.USO PUBL.-SUATA SERV.LOG. LTDA.</t>
  </si>
  <si>
    <t>29/11/2024 - Reexportado através dos processos E-24/0418-MBG
27/11/2024 - Cobrado novamente
01/11/2024 - Cobrado procedimento a ser adotado
29/10/2024 - Juntada efetuada
28/10/2024 - Docs recebidos
22/10/2024 - Numerario enviado, ag retorno
21/10/2024 - Solciitado prorrogaçao por mais 1 mes
14/10/2024 - Cobrado novamente
09/09/2024 - Cobrado procedimento a ser adotado
03/07/2024 - Juntada efetuada
02/07/2024 - Docs recebidos
25/06/2024 - Solicitado prorrogação por mais 4 meses, numerario enviado, ag retorno
10/06/2024 - Cobrado procedimento a ser adotado
03/06/2024 - Juntada efetuada
29/05/2024 - Docs recebidos
27/05/2024 - Enviado Numerario e RPR, ag retorno
21/05/2024 - Solicitado prorrogação por mais 1 mes
07/05/2024 - Cobrado procedimento a ser adotado
30/04/2024 - Processo incluído no controle</t>
  </si>
  <si>
    <t>I-22/1149-MBG</t>
  </si>
  <si>
    <t>DISTRIBUIDOR DE CARGA METALICO 3xHEB 500 Lg, Fabricante Servicios de Elevacion y Transporte- Mammoet Chile y Cia Ltda, Modelo:15104519-ENGDWG-F001-0, ANO DE FABRICACAO: 2022, USADO, NÚMERO DE EQUIPAMENTO: NA.</t>
  </si>
  <si>
    <t>12/12/2024 (REEXPORTADO)</t>
  </si>
  <si>
    <t>29/11/2024 - Reexportado através do processo E-24/0406-MBG
27/11/2024 - Cobrado novamente
01/11/2024 - Cobrado procedimento a ser adotado
29/10/2024 - Juntada efetuada
28/10/2024 - Docs recebidos
22/10/2024 - Numerario enviado, ag retorno
21/10/2024 - Solciitado prorrogaçao por mais 1 mes
14/10/2024 - Cobrado novamente
30/09/2024 - Cobrado procedimento a ser adotado
13/06/2024 - Juntada efetuada
11/06/2024 - Docs recebidos
10/06/2024 - Numerario enviado, ag retorno
04/06/2024 - Prorrogação por mais 5 meses
03/06/2024 - Cobrado novamente
15/04/2024 - Cobrado procedimento a ser adotado
12/01/2024 - Juntada efetuada
12/01/2024 - Docs recebidos
04/01/2024 - Numerario e RPR enviados, agr retorno
03/01/2024 - Solicitado prorrogação por mais 4 meses
28/12/2023 - Cobrado novamente
21/11/2023 - Cobrado procedimento a ser adotado
10/07/2023 - Juntada efetuada através do DOSSIE
28/06/2023 - Docs recebidos
20/06/2023 - Numerario e TR enviado, ag retorno
19/06/2023 - Informado que será prorrogado por 6 meses
18/05/2023 - Cobrado procedimento a ser adotado
22/09/2022 - Processo incluido no controle</t>
  </si>
  <si>
    <t>I-22/0680-MBG</t>
  </si>
  <si>
    <t>CC3800-1</t>
  </si>
  <si>
    <t>S/NR.</t>
  </si>
  <si>
    <t>Guindaste autopropelido sobre esteiras, novo, marca Terex-Demag, modelo CC 38.650-1, número de série 36254, ano de fabricação 2022, número da frota 003380, computadorizado, acionado por motor diesel, capacidade de 650 toneladas, superlift, contrapesos, com todos acessórios para seu funcionamento, desmontado parcialmente para manuseio e transporte.</t>
  </si>
  <si>
    <t>20/12/2024 (REEXPORTADO)</t>
  </si>
  <si>
    <t>PORTO DE SALVADOR - CODEBA</t>
  </si>
  <si>
    <t>29/11/2024 - Reexportado através dos processos E-24/0419-MBG
25/11/2024 - Cobrado procedimento a ser adotado
19/11/2024 - Juntada efetuada
13/11/2024 - Docs recebidos
11/11/2024 - Numerario enviado, ag retorno
07/11/2024 - Solcicitado prorrogaçao por mais 1 mes
30/09/2024 - Cobrado procedimento a ser adotado
20/06/2024 - Juntada efetuada
14/06/2024 - Docs recebidos
04/06/2024 - Prorrogação por mais 5 meses, ag retorno
03/06/2024 - Cobrado novamente
30/04/2024 - Cobrado procedimento a ser adotado
19/12/2023 - Juntada efetuada
01/12/2023 - Enviado RPR, TR e Numerario, ag retorno
22/11/2023 - Solicitado renovação por mais 6 meses
26/10/2023 - Cobrado procedimento a ser adotado
28/07/2022 - Processo incluido no controle</t>
  </si>
  <si>
    <t>DTA ENGENHARIA</t>
  </si>
  <si>
    <t>I-24/1100-DTE</t>
  </si>
  <si>
    <t>DRAGA FENFORD</t>
  </si>
  <si>
    <t>PERIODO DE FORNECIMENTO 2017 CONTRATO DE AFRETAMENTO POR TEMPO PARA EMBARCAÇÕES DE APOIO OFFSHORE</t>
  </si>
  <si>
    <t>NOME DO NAVIO: KENFORD TIPO DE NAVIO: DRAGA DE SUCÇÃO TRANSPORTADORA DE ARRASTO. IMO: 8821826 BANDEIRA: BELIZE, CLASSE: DRAGA DE ARRASTO I HULL MACH, CLASSIFICAÇÃO: BUREAU VERITAS, DISTINTIVO DE CHAMADA V3BE2, CONSTRUÇÃO: 1990, PAÍSES BAIXOS. ESTÁ EQUIPADO COM SALA DE MÁQUINAS, COM SALA DE BOMBAS DE PROA, NO DEPÓSITO DE TINTA, COM SALA DE AR-CONDICIONADO, COM SALA DO LEME, COM TREMONHA E NA PONTE. O NAVIO ESTÁ EQUIPADO COM UMA ACOMODAÇÃO PARA 14 PESSOAS. DIMENSÕES: COMPRIMENTO TOTAL: 81,8M, COMPRIMENTO ENTRE PERPENDICULARES: 76,95M, LARGURA MOLDADA: 14,00M, PROFUNDIDADE MOLDADA NA MEIA-NAU: 6,30M, CALADO DE VERÃO:4,20M, CALADO DA DRAGA:5,25M, ALTURA:24M, TONELAGEM (T): TONELAGEM BRUTA:2172, TONELAGEM LÍQUIDA:664, PESO MORTO:3369 TONELADAS, CAPACIDADE DA TREMONHA (PARTE SUPERIOR DA ARMAÇÃO):2500 M3, TUBO DE SUCÇÃO DE TRILHAMENTO:1 COM DIÂMETRO DE 800 MM, TUBO DE DESCARGA PARA A TREMONHA: DIÂMETRO 800 MM, TUBO DE DESCARGA PARA TERRA: DIÂMETRO 650 MM, PROFUNDIDADE DE DRAGAGEM: 25M, VELOCIDADE MÁXIMA:10 NÓS, POTÊNCIA TOTAL INSTALADA DO MOTOR DIESEL: 1956 KW, MOTORES PRINCIPAIS:2 MOTORES A DIESEL BOLNES DE 7 CILINDROS, TIPO 7DNL 190/600, CADA UM COM POTÊNCIA NOMINAL DE 978 KW/1330 HP, A 600 RPM, CADA UM ACIONANDO 1 HÉLICE DE PASSO FIXO POR MEIO DE UMA CAIXA DE REDUÇÃO MASON. GERADOR AUXILIAR: 2 MOTOR DIESEL CATERPILLAR DE 4 CILINDROS, TIPO CAT 3304(B) DI-T, COM POTÊNCIA NOMINAL DE 80KW A 1.500 RPM, ACIONANDO 1 GERADOR. GERADOR DE EMERGÊNCIA: N/A, HÉLICES: 2 HÉLICES DE PASSO FIXO DE BRONZE COM 4 PÁS EM BOCAIS FIXOS. PROPULSOR DE PROA: 1 MOTOR PRINCIPAL BOLNES, GERADORES ACIONADOS (494KW) E HÉLICE DE PASSO FIXO NO TÚNEL. BOMBA DE DRAGAGEM: 1 BOMBA DE PAREDE SIMPLES VOSTA,TIPO IHC 150-42,5-75, ACIONADA POR UM MOTOR A DIESEL DE 978KW/1330HP, 600RPM, FABRICADO EM BOLNES POR MEIO DE UMA CAIXA DE REDUÇÃO TIPO CEGONHA. BOMBA DE REFORÇO: 1 BOMBA DE PAREDE SIMPLES VOSTA, TIPO IHC 175-37,5-75, ACIONADA POR UM MOTOR DIESEL DE 932 KW/1258 HP, 1800 RPM, CATERPILLAR 3512 DI-TA, POR MEIO DE UMA CAIXA DE REDUÇÃO (STORK). BOMBAS DE JATO DÁGUA: 2 BOMBAS GIW DE 1250M3/H, CADA UMA COM 8 BAR, ACIONADAS POR 1 MOTOR DIESEL CATERPILLAR 3412, MARCA HGT 1-300315-180KW. CAPACIDADE DO TANQUE: ÓLEO COMBUSTÍVEL: 269,0 M3 ÓLEOS LUBRIFICANTES 5,6 M3 ÁGUA DOCE: 55,7 T GUINDASTES DE CONVÉS: 1 GUINDASTE HIDRÁULICO PALFINGER, SWL,990 QUILOGRAMAS A 7M E 1 GUINDASTE ELÉTRICO, SWL, 990 QUILOGRAMAS A 6M.ACOMODAÇÃO: A ACOMODAÇÃO CONSISTE EM 3 BELICHES. APARELHOS SALVA-VIDAS:2 BOTES SALVA-VIDAS PARA 16 PESSOAS CADA, 2 BOTES SALVA VIDAS PARA 8 PESSOAS CADA, 1 BARCO MOB COM MOTOR DE POPA DE 25 HP, VÁRIOS OUTROS EQUIPAMENTOS.</t>
  </si>
  <si>
    <t>31/12/2024 (REEXPORTADO)</t>
  </si>
  <si>
    <t>PATIO DO PORTO DO RJ</t>
  </si>
  <si>
    <t>26/12/2024 - Reexportaçao através do processo E-24/0425-DTE
01/11/2024 - Cobrado procedimento a ser adotado
25/06/2024 - Processo incluído no controle</t>
  </si>
  <si>
    <t>I-21/0721-MBG</t>
  </si>
  <si>
    <t>LTM1500-8.1</t>
  </si>
  <si>
    <t>PAGA</t>
  </si>
  <si>
    <t>CONTRATO DE LOCAÇÃO 2021060</t>
  </si>
  <si>
    <t>Caminhão Guindaste sobre Pneu com lança telescópica até 50 metros, aditivo especial conectado JIB até 91 metros, capacidade máxima de elevação 500 toneladas, com 8 eixos totais sendo 2 eixos fixos + 6 eixos direcionáveis, parcialmente desmontado para transporte e manuseio, com peças e acessórios para montagem e operação. Marca Liebherr, modelo LTM1500-8.1, usado, ano de fabricação 2017, numero de série 095381.</t>
  </si>
  <si>
    <t>SUATA SERV. LOG-SUAPE</t>
  </si>
  <si>
    <t>26/12/2024 - Cobrado procedimento a ser adotado
20/12/2024 - Juntada efetuada
19/12/2024 - Docs recebidos
25/11/2024 - Cobrado procedimento a ser adotado
21/11/2024 - Juntada efetuada
19/11/2024 - Docs recebidos
14/11/2024 - Numerario enviado, ag retorno
12/11/2024 - Solicitado prorrogação por mais 1 mes
30/09/2024 - Cobrado procedimento a ser adotado
21/08/2024 - Juntada efetuada
21/08/2024 - Docs recebidos
07/08/2024 - Numerario enviado, ag numerario
05/08/2024 - Solicitado prorrogação por mais 3 meses
25/07/2024 - Cobrado novamente
25/06/2024 - Cobrado procedimento a ser adotado
21/06/2024 - Juntada efetuada
19/06/2024 - Docs recebidos
10/06/2024 - Enviado Numerario, ag retorno
04/06/2024 -Solicitado prorrogação por mais 2 meses
03/06/2024 - Cobrado novamente
30/04/2024 - Cobrado procedimento a ser adotado
19/04/2024 - Juntada efetuada
12/04/2024 - Dcos recebidos
05/04/2024 - Numerario e TR enviados
04/04/2024 - Informado que será prorrogado por mais 2 meses
22/03/2024 - Cobrado novamente
23/02/2024 - Cobrado procedimento a ser adotado
18/09/2023 - Juntada efetuada pelo DOSSIE
04/09/2023 - Docs recebidos
27/07/2023 - Cobrado procedimento a ser adotado
21/07/2023 - Juntada da Apolice efetuada
20/07/2023 - Juntada efetuada sem Apolice, através do DOSSIE
18/07/2023 - Recebido docs, exceto Apolice
27/06/2023 - Numerario, TR e RPR enviados, ag retorno
21/06/2023 - Informado que será prorrogado por 2 meses
01/06/2023 - Cobrado procedimento a ser adotado
22/03/2023 - Recebido Apolice, juntado ao DOSSIE
21/03/2023 - Juntada efetuada, ag Apolice
21/03/2023 - Docs recebidos exceto Apolice.
01/02/2023 - Enviado Numerario, RPR e TR, aguardando retorno
26/01/2023 - Informado que a prorrogação será até 08/2023
24/01/2023 - Cobrado procedimento a ser adotado
20/12/2022 - Juntada efetuada no DOSSIE
19/12/2022 - Docs recebidos
22/11/2022 - Cobrado novamente
25/10/2022 - Cobrado procedimento a ser adotado
25/06/2021 - Processo incluido no controle</t>
  </si>
  <si>
    <t>KARINA</t>
  </si>
  <si>
    <t>E-24/0208-KRN</t>
  </si>
  <si>
    <t>EXP TEMPORARIA</t>
  </si>
  <si>
    <t>CRONOGRAMA DE 20/06/2024</t>
  </si>
  <si>
    <t>UNIDADE DE ACIONAMENTO EXTRUSORA E20 3F/1,1KW/I=16, DE MATERIAL EM AÇO, MODELO: M332.00256, NUMERO DE SERIE: 2021.3888.010.004, FABRICANTE: COLLIN LAB &amp; PILOT SOLUTIONS GMBH</t>
  </si>
  <si>
    <t>AEROPORTO INTERNACIONAL DE SAO PAULO/GUARULHOS</t>
  </si>
  <si>
    <t>26/12/2024 - Cobrado procedimento a ser adotado
18/12/2024 - Juntada efetuada
18/12/2024 - Docs recebidos
27/11/2024 - Informado que será reimportado
27/11/2024 - Cobrado novamente
28/10/2024 - Cobrado procedimento a ser adotado
23/10/2024 - Juntada efetuada
23/10/2024 - Docs recebidos
09/09/2024 - Cobrado procedimento a ser adotado
11/07/2024 - Processo incluído no controle</t>
  </si>
  <si>
    <t>MEGASIL</t>
  </si>
  <si>
    <t>I-20/1533-MEG</t>
  </si>
  <si>
    <t>FORRAGEIRA+PLATAFORMA</t>
  </si>
  <si>
    <t>CONTRATO DE LOCAÇÃO Nº DH-MEGA17</t>
  </si>
  <si>
    <t>DIVERSOS EQUIPAMENTOS CONFORME DI</t>
  </si>
  <si>
    <t>EADI AURORA - SOROCABA</t>
  </si>
  <si>
    <t>26/12/2024 - Cobrado procedimento a ser adotado
23/03/2021 - Processo incluido no controle</t>
  </si>
  <si>
    <t>I-24/1261-DTE</t>
  </si>
  <si>
    <t>DRAGA ELBE</t>
  </si>
  <si>
    <t>CONTRATO Nº 01 DE AFRETAMENTO DE DRAGA A CASCO NU</t>
  </si>
  <si>
    <t>DRAGA TSHD DE SUCÇÃO EM MOVIMENTO, M/V ELBE, CONSTRUÍDA EM 2007 NO ESTALEIRO BEN KIEN SHIPYARD, VIETNAM, REGISTRADA NO PORTO DE SLIEDRECH, DE BANDEIRA DOS PAISES BAIXOS, IMO NUMERO 9452842, INDICATIVO PBMK, A EMBARCAÇÃO ESTÁ EQUIPADO COM UM SISTEMA DE SUCÇÃO DE REBOQUE, DESPEJO E DESCARGA DE AREIA E LODO. ESTÁ EQUIPADA DE SALA DE MÁQUINAS, SALA DE BOMBA, LOJA DE TINTAS, QUARTO COM AR CONDICIONADO, SALA DE LEME, SALA DE HIDRÁULICA, 2 HOPPER (1 A BOMBORDO E 1 A ESTIBORDO), SALA DE CONVERSOR, SALA DE GERADOR, DE EMERGÊNCIA E PONTE. O NAVIO É EQUIPADO COM UM ALOJAMENTO PARA 13 PESSOAS. DRAGA AVALIADA EM 5.000.000,00 DIMENSÕES: COMPRIMENTO SOBRE TUDO: 77,15 M COMPRIMENTO PERPENDICULARES: 71,80 M BOCA MOLDADA: 15,00 M PROFUNDIDADE MEIA NAU MOLDADO: 5,70 M PROJECTO DE VERÃO: 4,45 M DRAGA PROJECTO: 6,10 M ALTURA: 28,85 M TONELAGEM (T): TONELAGEM BRUTA: 2472 TONELAGEM LIQUIDA: 741 PESO MORTO: 3341 MT CAPACIDADE HOPPER (TOPO DA BRAÇOLA): 2.800 M3 TUBO DE SUCÇÃO EM MOVIMENTO: 1 COM 800 MILÍMETROS DE DIÂMETRO TUBO DE DESCARGA PARA HOPER: 800 MILÍMETROS DE DIÂMETRO TUBO DE DESCARGA PARA TERRA: 600 MILÍMETROS DE DIÂMETRO PROFUNDIDADE DE DRAGAGEM: 30M VELOCIDADE MÁXIMA: 10,3 NÓS TOTAL DE ENERGIA A DIESEL INSTALADOS: 2.529 KW MOTORES PRICIPAIS: 2 MOTORES DIESEL DE 12 CILINDROS, MITSUBISHI, TIPO S12RMPTK, CADA UM DE 940 KW NOMINAL DE 1,600 RPM, DIRIGINDO UMA HÉLICE DE PASSO FIXO ATRAVÉS DE UMA CAIXA REDUTORA MASON. MOTORES AUXILIARES: 3 MOTORES DIESEL DE 6 CILINDROS, JOHN DEERE, TIPO 6090AFM85, DE 192KW NOMINAL DE 1,500 RPM, DE UNICA DIREÇÃO. MOTOR DE EMERGÊNCIA: 1 MOTOR DIESEL DE 6 CILINDROS, MITSUBISHI,TIPO 6D16T DE 106 KW NOMINAL DE 1500 RPM, DE UNICA DIREÇÃO. HÉLICES: 2 HÉLICES DE 5 PÁS DE BRONZE DE PASSO E BICOS FIXOS. MOTOR PROA: 1 MOTOR DIESEL, MITSUBSHI, HÉLICE DE PASSO FIXO CONDUZIDO EM TÚNEL DE 360KW. BOMBA DE DRAGAGEM: 1 BOMBA PARA DRAGAGEM VOSTA, TIPO VL 750, IMPULSIONADA POR UM MOTOR A DIESEL DE 870 KW MITSUBISHI, VIA CAIXA DE REDUÇÃO STORK. BOMBA DE MOVIMENTO: 1 BOMBA DE MOVIMENTO VOSTA, TIPO VL 750, IMPULSIONADA POR UM MOTOR A DIESEL DE 870 KW MITSUBISHI, VIA CAIXA DE REDUÇÃO STORK. BOMBAS DE JATO DE ÁGUA: 1 BOMBA GIW DE 2300 M3/H, DE 8 BAR, IMPULSIONADA POR UM MOTOR DIESEL, MITSHUBISHI DE 634 KW, COM REDUÇÃO VIA CAIXA MASON. CAPACIDADE DOS TANQUES DE: ÓLEO COMBUSTÍVEL: 219,0 M3 ÓLEOS LUBRIFICANTES: 13,0 M3 ÁGUA DOCE: 91,0 M3 GUINDASTES: 2 GRUAS HIDRÁULICAS PALFINGER, TIPO SWM, DE 7 TON ATÉ 10M. ACOMODAÇÕES: AS ACOMODAÇÕES CONSISTEM DE 5 DECKS. MEIOS DE SALVAÇÃO: 2 BOTES SALVA-VIDAS PARA CADA 16 PESSOAS, 1 BARCO MOB COM MOTOR DE POPA DE 25 HP.</t>
  </si>
  <si>
    <t>PORTO DE FORTALEZA - DOCAS DO CEARA</t>
  </si>
  <si>
    <t>26/12/2024 - Cobrado procedimento a ser adotado
14/10/2024 - Juntada efetuada
14/10/2024 - Docs recebidos
07/10/2024 - Solicitado prorrogaçao por mais 3 meses, numerario e RPR enviados, ag retorno
14/08/2024 - Cobrado procedimento a ser adotado
22/07/2024 - Processo incluído no controle</t>
  </si>
  <si>
    <t>NEA TANKS</t>
  </si>
  <si>
    <t>E-24/0052-NEA</t>
  </si>
  <si>
    <t>CONTRATO Nº Nº BPCRC-014-2022-PRD</t>
  </si>
  <si>
    <t>PORTO DE SANTOS - SP</t>
  </si>
  <si>
    <t>29/11/2024 - Juntada efetuada
27/11/2024 - Docs recebidos
27/11/2024 - Cobrado novamente
18/10/2024 - Cobrado procedimento a ser adotado
09/10/2024 - Juntada efetuada
04/10/2024 - Docs recebidos
14/08/2024 - Cobrado procedimento a ser adotado
15/04/2024 - Processo incluído no controle</t>
  </si>
  <si>
    <t>E-24/0004-NEA</t>
  </si>
  <si>
    <t>CONTRATO Nº BPCRC-014-2022-PRD</t>
  </si>
  <si>
    <t>DIVERSOS EQUIPAMENTOS CONFORME DUE</t>
  </si>
  <si>
    <t>29/11/2024 - Juntada efetuada
27/11/2024 - Cobrado novamente, docs recebidos
18/10/2024 - Cobrado procedimento a ser adotado
09/10/2024 - Juntada efetuada
04/10/2024 - Docs recebidos
14/08/2024 - Cobrado procedimento a ser adotado
16/02/2024 - Processo incluido no controle</t>
  </si>
  <si>
    <t>I-21/0343-MBG</t>
  </si>
  <si>
    <t>EXP-MUSA-12521</t>
  </si>
  <si>
    <t>CONTRATO DE LOCAÇÃO S/NR
DATADO DE 16/03/2021</t>
  </si>
  <si>
    <t>Conjunto de Trilha Estreita usado para Guindaste Terex Demag CC 2800 - 1 com todas as peças e acessórios para montagem e operação, marca: Terex Demag, modelo: CC 2800-1, sem número de serie, ano de fabricação 2006. Uma seçao de Jib/lança de 12 metros usada para guindaste Terex-Demag CC 2800-1 com todas as peças e acessórios para montagem e operação, marca: Terex Demag, modelo: CC 2800-1, sem numero de série, ano de fabricação 2006.0</t>
  </si>
  <si>
    <t>MULTIRIO-RJ</t>
  </si>
  <si>
    <t>26/12/2024 - Juntada efetuada
23/12/2024 - Docs recebidos
29/11/2024 - Numerario enviado, ag retorno
28/11/2024 - Solicitado prorrogaçao por mais 3 mese
27/11/2024 - Cobrado procedimento a ser adotado
26/11/2024 - Juntada efetuada
22/11/2024 - Docs recebidos
14/11/2024 - Numerario enviado, ag retorno
12/11/2024 - Solicitado prorrogaçao por mais 1 mes
30/09/2024 - Cobrado procedimento a ser adotado
26/06/2024 - Juntada efetuada
26/06/2024 - Docs recebidos
14/06/2024 - Enviado Numerario, ag retorno
13/06/2024 - Solicitado prorrogação por mais 5 meses
03/06/2024 - Cobrado novamente
30/04/2024 - Cobrado procedimento a ser adotado
26/04/2024 - Juntada efetuada
19/04/2024 - Docs recebidos
05/04/2024 - Numerario e RPR enviados, ag retorno
04/04/2024 - Informado que será prorrogado por mais 2 meses
28/02/2024 - Cobrado procedimento a ser adotado
25/10/2023 - Juntada efetuada
23/10/2023 - Docs recebidos
06/10/2023 - RPR, TR e Numerario enviados, ag retorno
03/10/2023 - Solicitado prorrogação por mais 6 meses
30/08/2023 - Cobrado procedimento a ser adotado
25/07/2023 - Juntada efetuada atraves do DOSSIE
21/07/2023 - Docs recebidos
27/06/2023 - Enviado Numerario, TR e RPR, ag retorno
22/06/2023 - Solicitado renovação por 3 meses
01/06/2023 - Cobrado procedimento a ser adotado
23/03/2023 - Juntada efetuada através do DOSSIE
20/03/2023 - Recebido documentação
28/02/2023 - Cobrado novamente
31/01/2023 - Cobrado procedimento a ser adotado
25/03/2022 - Juntada anexada através do DOSSIE
17/02/2022 - Solicitado prorrogação por 12 meses, TR, RAT e Numerário enviados, aguardando retorno
27/01/2022 - Cobrado procedimento a ser adotado
24/09/2021 - Recebido documentos, juntada efetuada pelo DOSSIE
20/09/2021 - Cobrado novamente
27/08/2021 - Cobrado novamente, solicitado prorrogação por 6 meses, TR e Numerario enviados, aguardando retorno
27/07/2021 - Cobrado procedimento a ser adotado
11/05/2021 - Processo incluído no controle</t>
  </si>
  <si>
    <t>I-23/0175-MBG</t>
  </si>
  <si>
    <t>REP. DOMINICANA</t>
  </si>
  <si>
    <t>CONTRATO DE ALUGUEL DE 26/03/2023</t>
  </si>
  <si>
    <t>POWER PACK DE MOVIMENTO RETILÍNEO (CILINDROS), MARCA GOLDHOFER AKTIENGESELLSCHAFT, MODELO PFV-490/60-31, NÚMERO DE SÉRIE 61402, FROTA 302920, ANO DE FABRICAÇÃO 2016, USADO, COM DISPOSITIVOS E FERRAMENTAS DE MONTAGEM E ACESSÓRIOS NECESSÁRIOS PARA OPERAÇÃO.</t>
  </si>
  <si>
    <t>ICTSI RIO BRASIL TERMINAL 1 SA - RIO DE JANEIRO/RJ</t>
  </si>
  <si>
    <t>29/11/2024 - Juntada efetuada
27/11/2024 - Docs recebidos
25/11/2024 - Numerario enviado, ag retorno
22/11/2024 - Solicitado prorrogaçao por mais 4 meses
30/09/2024 - Cobrado procedimento a ser adotado
30/08/2024 - Juntada efetuada
29/08/2024 - Docs recebidos
22/08/2024 - Numerario e RPR enviados, ag retorno
21/08/2024 - Prorrogação por mais 3 meses
14/08/2024 - Cobrado novamente
02/07/2024 - Cobrado procedimento a ser adotado
25/06/2024 - Juntada efetuada
25/06/2024 - Docs recebidos
17/06/2024 - Numerario enviado, ag retorno
13/06/2024 - Prorrogaçao por mais 2 meses
30/04/2024 - Cobrado procedimento a ser adotado
28/03/2024 - Juntada efetuada
27/03/2024 - Recebido docs
13/03/2024 - Enviado Numerario e RPR, ag retorno
12/03/2024 - Solicitado prorrogação por mais 3 meses
01/02/2024 - Cobrado procedimento a ser adotado
27/10/2023 - Juntada efetuada
26/10/2023 - Docs recebidos
06/10/2023 - RPR e Numerario enviados, ag retorno
03/10/2023 - Solicitado prorrogação por mais 5 meses
30/08/2023 - Cobrado procedimento a ser adotado
11/07/2023 - Processo incluido no controle</t>
  </si>
  <si>
    <t>I-23/0432-MBG</t>
  </si>
  <si>
    <t>REP. LINHA DE EIXO</t>
  </si>
  <si>
    <t>VEÍCULO AUTOPROPELIDO PARA TRANSPORTE A DE GRANDES ESTRUTURAS EM CURTAS DISTÂNCIAS, COM 6 LINHAS DE EIXO, ANO DE
FABRICAÇÃO 2016, USADO, COM CADA LINHA DE EIXO COMPOSTA POR 8 PNEUS (TOTAL DO CONJUNTO 48 PNEUS),COMPLETA, COM
DISPOSITIVOS E FERRAMENTAS DE MONTAGEM E ACESSÓRIOS NECESSÁRIOS PARA OPERAÇÃO (PARCIALMENTE DESMONTADO PARA
MANUSEIO E TRANSPORTE). NÚMERO DE SÉRIE WG0PST061G0061401 E FROTA 302919 E MARCA GOLDHOFER
AKTIENGESELLSCHAFT, MODELO: PST/SL 6-12X08.</t>
  </si>
  <si>
    <t>29/11/2024 - Juntada efetuada
28/11/2024 - Docs recebidos
25/11/2024 - Numerario enviado, ag retorno
22/11/2024 - Solicitado prorrogaçao por mais 4 meses
07/10/2024 - Cobrado procedimento a ser adotado
03/09/2024 - Juntada efetuada
29/08/2024 - Docs recebidos
22/08/2024 - Numerario e RPR enviados
21/08/2024 - Solicitado prorrogaçao por mais 3 meses
14/08/2024 - Cobrado novamente
05/07/2024 - Cobrado procedimento a ser adotado
24/06/2024 - Juntada efetuada
17/06/2024 - Docs recebidos
17/06/2024 - Numerario enviado, ag retorno
13/06/2024 - Prorrogação por mais 2 meses
10/06/2024 - Cobrado procedimento
03/06/2024 - Juntada efetuada
29/05/2024 - Docs recebidos
24/05/2024 - RPR e Numerario enviados, ag retorno
21/05/2024 - Solicitado prorrogação por mais 1 mes
08/05/2024 - Cobrado novamente
05/04/2024 - Cobrado procedimento a ser adotado
04/12/2023 - Juntada efetuada, aguardando apolice.
10/11/2023 - Solicitado prorrogação por mais 6 meses, Numerario, TR e RPR enviados, ag retorno
06/10/2023 - Cobrado procedimento a ser adotado
12/06/2023 - Processo incluido no controle</t>
  </si>
  <si>
    <t>I-22/1173-MBG</t>
  </si>
  <si>
    <t>EXPO-CHL-BRL-034</t>
  </si>
  <si>
    <t>CONTRATO DE ALUGUEL DE 22/09/2022</t>
  </si>
  <si>
    <t>Caminhão Guindaste sobre Pneu com lança telescópica até 60 metros, aditivo especial conectado JIB até 88 metros, capacidade máxima de elevação 220 toneladas, com 5 eixos totais direcionáveis,parcialmente desmontado para transporte e manuseio, com peças e acessórios para montagem e operação. Marca Liebherr, modelo LTM-1220 5.2, usado, ano de fabricação 2012, número de série 045767, CHASSIS NO.: W09585700DEL05385.</t>
  </si>
  <si>
    <t>TCP - TERMINAL DE CONTEINERES DE PARANAGUA S/A</t>
  </si>
  <si>
    <t>10/12/2024 - Juntada efetuada
03/12/2024 - Docs recebidos
29/11/2024 - Numerario enviado, ag retorno
27/11/2024 - Solicitado prorrogaçao por mais 4 meses
27/11/2024 - Cobrado novamente
11/11/2024 - Cobrado procedimento a ser adotado
08/11/2024 - Juntada efetuada
04/11/2024 - Docs recebidos
22/10/2024 - Numerario enviado, ag retorno
21/10/2024 - Solciitado prorrogaçao por mais 1 mes
14/10/2024 - Cobrado novamente
30/09/2024 - Cobrado procedimento a ser adotado
13/06/2024 - Juntada efetuada
11/06/2024 - Docs recebidos
10/06/2024 - Numerario enviado, ag retorno
04/06/2024 - Prorrogação por mais 5 meses
03/06/2024 - Cobrado novamente
15/04/2024 - Cobrado procedimento a ser adotado
12/04/2024 - Juntada efetuada
11/04/2024 - Docs recebidos
03/04/2024 - Enviado Numerario e RPR
01/04/2024 - Informado que será prorrogado por mais 2 meses
22/03/2024 - Cobrado novamente
14/02/2024 - Cobrado procedimento a ser adotado
03/11/2023 - Juntada da Apolice efetuada
26/10/2023 - Apolice atualizada recebida
11/10/2023 - Juntada efetuada
06/10/2023 - Recebido docs exceto Apolice atualizada
21/08/2023 - Cobrado procedimento a ser adotado
02/01/2023 - Processo incluido no controle</t>
  </si>
  <si>
    <t>I-22/1955-MBG</t>
  </si>
  <si>
    <t>CC 2800-1</t>
  </si>
  <si>
    <t>CONTRATO DE ALUGUEL DE 13/12/2022</t>
  </si>
  <si>
    <t>Seções de lança para guindaste CC2800-1, usadas, tipo (S7) 2724-22-03/ 2724-22-04, completas com pendentes e
pinos para montagem. Marca: Terex Demag, modelo: CC 2800-1, número de serie 62240, capacidade da lança 600
ton, fleet number: 1169, ano de fabricação 2008, usado.</t>
  </si>
  <si>
    <t>INST.PORT.MAR.ALF.USO PUBL.CONS.MULT RIO-T.II-PORTO RJ</t>
  </si>
  <si>
    <t>17/12/2024 - Juntada efetuada
16/12/2024 - Docs recebidos
29/11/2024 - Numerario enviado, ag retorno
28/11/2024 - Solicitado prorrogaçao por mais 4 meses
25/11/2024 - Cobrado procedimento a ser adotado
19/11/2024 - Juntada efetuada
19/11/2024 - Recebido documentos
24/10/2024 - Enviado numerario, ag retorno
23/10/2024 - Solciitado prorrogaçao por mais 1 mes
30/09/2024 - Cobrado procedimento a ser adotado
19/06/2024 - Juntada efetuada
19/06/2024 - Docs recebidos
10/06/2024 - Numerario enviado, ag retorno
04/06/2024 - Prorrogação por mais 5 meses
03/06/2024 - Cobrado novamente
30/04/2024 - Cobrado procedimento a ser adotado
15/01/2024 - Juntada efetuada
12/01/2024 - Docs recebidos
05/01/2024 - RPR e Numerario enviados, ag retorno
04/01/2024 - Solicitado prorrogação por mais 5 meses
28/12/2023 - Cobrado novamente
21/11/2023 - Cobrado procedimento a ser adotado
17/07/2023 - Juntada efetuada através do DOSSIE
17/07/2023 - Docs recebidos
20/06/2023 - Numerario, TR e RPR enviados, ag retorno
19/06/2023 - Informado que será prorrogado por 6 meses
18/05/2023  - Cobrado procedimento a ser adotado
03/03/2023 - Processo incluido no controle</t>
  </si>
  <si>
    <t>I-21/1420-MBG</t>
  </si>
  <si>
    <t>CKE1100G-2</t>
  </si>
  <si>
    <t>CONTRATO DE LOCAÇÃO DATADO EM 30/08/2021</t>
  </si>
  <si>
    <t>Parte de Guindaste autopropelido CC2800, sendo: Moitão 200T, cabo de 28MM, 5 roldanas, marca 5321322, modelo HF-280200-00001, numero de serie 63078-2, ano de fabricação 2007 - usado.</t>
  </si>
  <si>
    <t>18/12/2024 - Juntada efetuada
18/12/2024 - Docs recebidos
29/11/2024 - Numerario enviado, ag retorno
28/11/2024 - Solicitado prorrogaçao por mais 4 meses
25/11/2024 - Cobrado procedimento a ser adotado
19/11/2024 - Juntada efetuada
19/11/2024 - Docs recebidos
22/10/2024 - Numerario enviado, ag retorno
21/10/2024 - Solciitado prorrogaçao por mais 1 mes
30/09/2024 - Cobrado procedimento a ser adotado
20/06/2024 - Juntada efetuada
19/06/2024 - Docs recebidos
10/06/2024 - Enviado RPR, ag retorno
04/06/2024 - Solicitado prorrogação por mais 5 meses
03/06/2024 - Cobrado novamente
30/04/2024 - Cobrado procedimento a ser adotado
19/04/2024 - Juntada efetuada
19/04/2024 - Documentação recebida
03/04/2024 - Numerario, RPR e TR enviados, ag retorno
01/04/2024 - Informado que será prorrogado por mais 2 meses
22/03/2024 - Cobrado novamente
23/02/2024 - Cobrado procedimento a ser adotado
19/10/2023 - Juntada efetuada
18/10/2023 - Docs recebidos
02/10/2023 - Enviado numerario, TR e RPR, ag retorno
29/09/2023 - Cobrado novamente, respondido que será prorrogado por mais 6 meses
21/08/2023 - Cobrado procedimento a ser adotado
14/08/2023 - Juntada efetuada pelo DOSSIE
04/08/2023 - Recebido docs
31/07/2023 - Numerario, RPR e TR enviados, agr retorno
26/07/2023 - Informad que será prorrogado por mais 2 meses
26/06/2023 - Cobrado procedimento a ser adotado
09/03/2023 - Juntada efetuada no DOSSIE
06/03/2023 - Docs recebidos
01/02/2023 - Enviado Numerario, RPR e TR, aguardando retorno
26/01/2023 - Informado que a prorrogação será até 08/2023
24/01/2023 - Cobrado procedimento a ser adotado
15/03/2022 - Juntada anexada através do DOSSIE
17/02/2022 - Solicitado prorrogação por 12 meses, TR, RAT e Numerário enviados, aguardando retorno
19/01/2022 - Cobrado procedimento a ser adotado
29/10/2021 - Processo incluido no controle</t>
  </si>
  <si>
    <t>I-17/2116-MBG</t>
  </si>
  <si>
    <t>LINHA DE EIXO + POWER PACK</t>
  </si>
  <si>
    <t>ALFÂNDEGA DO PORTO DO RIO DE JANEIRO</t>
  </si>
  <si>
    <t>10711.720099/2018-34</t>
  </si>
  <si>
    <t>23/12/2024 - Juntada efetuada, docs recebidos
29/11/2024 - Enviado Numerario, ag retorno
27/11/2024 - Solicitado prorrogaçao por mais 4 meses
27/11/2024 - Cobrado novamente
28/10/2024 - Cobrado procedimento a ser adotado
25/10/2024 - Despacho
22/08/2024 - Juntada efetuada
12/08/2024 - Docs recebidos
07/08/2024 - Enviado Numerario, ag retorno
05/08/2024 - Solicitado prorrogação por mais 4 meses
25/06/2024 - Cobrado procedimento a ser adotado
21/06/2024 - Juntada efetuada
19/06/2024 - Docs recebidos
17/06/2024 - Numerario enviado, ag retorno
11/06/2024 - Prorrogação por mais 2 meses
03/06/2024 - Cobrado novamente
30/04/2024 - Cobrado procedimento a ser adotado
23/01/2024 - Juntada efetuada
12/01/2024 - Docs recebidos
05/01/2024 - RPR, Numerario e TR enviados, ag retorno
04/01/2023 - Solicitado prorrogação por mais 5 meses
28/12/2023 - Cobrado novamente
01/12/2023 - Cobrado procedimento a ser adotado
31/07/2023 - Apolice juntada
27/07/2023 - Recebido Apolice
21/07/2023 - Juntada efetuada sem Apolice
18/07/2023 - Docs recebidos, exceto Apolice
27/06/2023 - Numerario, TR e RPR enviados
21/06/2023 - Solicitado renovação por 6 meses
01/06/2023 - Cobrado procedimento a ser adotado
09/02/2023 - Despacho de encaminhamento
24/01/2023 - Juntada efetuada DOSSIE  e E-CAC, Apolice recebida
23/01/2023 - Docs recebidos, exceto APOLICE, juntada efetuada, aguardando APOLICE
02/01/2023 - Enviado Numerario, RPR e TR equivalente a 6 meses, aguardando retorno
25/11/2022 - Cobrado procedimento a ser adotado
07/11/2022 - Despacho Decisorio
14/10/2022 - Despacho de Encaminhamento
12/07/2022 - Juntada efetuada no e-CAC e no DOSSIE.
08/07/2022 - Cobrado os documentos para seguir com o pedido de prorrogação.
06/06/2022 - Solicitado prorrogação por mais 6 meses, docs enviados, aguardando retorno
24/05/2022 - Cobrado procedimento a ser adotado
18/02/2022 - Juntada efetuada no e-cac e através do DOSSIE da DI
17/02/2022 - Recebido docs
04/02/2022 - Solicitado prorrogação por 5 meses, TR e RAT enviados
27/01/2022 - Cobrado novamente
27/12/2021 - Cobrado procedimento a ser adotado
22/11/2021 - Recebido docs, juntada efeuada através do E-CAC e DOSSIE
17/11/2021 - Cobrado documentos novamente
20/10/2021 - Solicitado renovação por 3 meses, Numerario e TR enviados, aguardando retorno
27/09/2021 - Cobrado procedimento a ser adotado
23/07/2021 - Docs recebidos, aguardando APOLICE, juntada efetuada através do E-CAC e DOSSIE sem APOLICE, recebido APOLICE, juntada efetuada
06/07/2021 - Solicitado prorrogação por 4 meses, Numerário e TR enviados, aguardando docs
25/06/2021 - Cobrado novamente
25/05/2021 - Cobrado procedimento a ser adotado
18/01/2021 - Recebido docs, juntada enviada pelo E-CAC
13/01/2021 - Cobrado docs
23/12/2020 - Solicitada prorrogação por 6 meses, Numerario e TR enviados
24/11/2020 - Cobrado procedimento a ser adotado
16/09/2020 - Recebido documentos, Juntada Enviada pelo E-CAC, aguardando parecer da Receita
14/09/2020 - Cobrado novamente
10/09/2020 - Cobrado novamente
27/08/2020 - Solicitado prorrogação ate 23/01/2021, TR  e Numerário enviados
24/08/2020 - Cobrado novamente
20/07/2020 - Cobrado procedimento a ser adotado
15/05/2020 - Juntada enviada
11/05/2020 - Cobrado documentação
18/03/2020 - Cobrado qual procedimennto será adotado
16/01/2020 - Juntada feita pelo E-CAC
07/01/2020 - Cobrado documentação
23/12/2019 - Cobrado novamente
28/11/2019 - Cobrado qual procedimento a ser adotado. 
16/07/2019 - Juntada protocolada no e-CAC.
05/07/2019 - Recebido documentação para prosseguir com a prorrogação.
24/06/2019 - Cobrado documentação.
06/06/2019 - Enviado numerário, aguardando deposito e documentos para prosseguir com a prorrogação.
03/06/2019 - Recebido a informação que será prorrogado por 6 meses.
30/05/2018 - Cobrado qual procedimento a ser adotado. 
18/01/2019 - Processo enviado para o faturamento.
17/01/2019 - Juntada enviada e aguardando aprovação.
16/01/2019 - Recebida copia autenticada do contrato de serviço.
09/01/2019 - Recebida copia da documentação.
07/01/2019 - Cobrado documentação para prosseguir com a prorrogação. 
03/01/2019 - Cobrado documentação para prosseguir com a prorrogação.
02/01/2019 - Cobrado documentação para prosseguir com a prorrogação.
21/12/2018 - Enviado numerário e TR ao cliente. Agdo retorno.
10/12/2018 - O cliente mudou de ideia, o processo será prorrogado por mais 6 meses.
04/12/2018 - Recebida a informação que o material será reexportado. Enviado e-mail para o setor de exportação para providências. 
03/12/2018 - Enviado numerario para nacionalização de dois itens.
03/12/2018 - Cobrado qual procedimento será adotado.
22/11/2018 - Cobrado qual procedimento será adotado.
26/09/2018- 2ª Prorrogação enviada ao faturamento
26/09/2018 - Agdo aceite de juntada da 1ª prorrogação e 2ª prorrogação 
26/09/2018 - Documentos juntados ao processo. Agdo aceite de juntada
24/09/2018 - Pagamento de darfs e icms
19/09/2018 -Recebemos documentos e numerário
18/09/2018 - Cobrado  envio dos documentos e transferencia do numerario
11/09/2018 - Cobrado  envio dos documentos e transferencia do numerario
31/08/2018 - Enviado numerario e TR assinado. Agdo documentos e envio dos numerários
27/08/2018 - Informado que será prorrogado por 3 meses;
22/08/2018 - Cobrado procedimento será adotado 
17/07/2018 - Prorrogação faturada
11/07/2018- Documentos juntados no processo. Agd aceite de juntada
11/07/2018 - Cobrado vias originais ou autenticadas dos documentos e envio da garantia conforme TR corrigido
10/07/2018 - Cobrado vias originais ou autenticadas dos documentos e envio da garantia conforme TR corrigido
06/07/2018 - Recebido documentos por e-mail
03/07/2018 - Solicitação da seguradora referente aos documentos 
03/07/2018 - Dinheiro do numerário em conta 
21/06/2018 - Enviado Numerário. Agdo transferência do numerário e Documentos
07/05/2019 - Informado que o procedimento a ser adotado será prorrogação por 3 meses
04/05/2018 - Cobrado procedimento a ser adotado 
16/04/2018 - Processo Incluso no Controle
* Considerado o prazo do Contrato de Locação, 7 meses a contar da data de assinatura (Cláusula 06 Contrato), até 11/07/2018.
* Fiscal Concedeu o regime até 19/09/2018, 7 meses a contar do desembaraço.</t>
  </si>
  <si>
    <t>I-19/0083-MBG</t>
  </si>
  <si>
    <t>GUINDASTE CC 2800-1</t>
  </si>
  <si>
    <t>CONTRATO DE LOCAÇÃO S/NR
DATADO DE 15/02/2019</t>
  </si>
  <si>
    <t>Guindaste autopropelido sobre esteiras, marca Terex-Demag, modelo CC2800-I, numero de serie 62277, ano de fabricação 2008, usado, numero da frota 1331, omputadorizado, acionado por motor diesel, capacidade de 600 toneladas, Superlift, contra-pesos,com todos acessórios para seu funcionamento, desmontado parcialmente para manuseio e transporte.</t>
  </si>
  <si>
    <t>CAMPOS DOS GOITACAZES</t>
  </si>
  <si>
    <t>10120.004639/0319-51</t>
  </si>
  <si>
    <t>23/12/2024 - Juntada efetuada
23/12/2024 - Docs recebidos
25/11/2024 - Cobrado procedimento a ser adotado
22/11/2024 - Juntada efetuada
22/11/2024 - Docs recebidos
14/11/2024 - Numerario enviado ag retorno
12/11/2024 - Soclitiado prorrogaçao por mais 1 mes
30/09/2024 - Cobrado procedimento a ser adotado
23/06/2024 - Juntada efetuada
21/06/2024 - Docs recebidos
14/06/2024 - Enviado numerario, ag retorno
11/06/2024 - Solicitado prorrogação por mais 5 meses
03/06/2024 - Cobrado novamente
30/04/2024 - Cobrado procedimento a ser adotado
23/11/2023 - Juntada efetuada
22/11/2023 - Docs recebidos
27/10/2023 - Numerario e RPR foi enviado, ag retorno
26/10/2023 - Cobrado novamente, informado que será prorrogado por mais 7 meses
29/09/2023 - Cobrado procedimento a ser adotado
19/09/2023 - Juntada efetuada pelo DOSSIE
18/09/2023 - Recebido docs
05/09/2023 - Enviado Numerario e RPR, ag retorno
30/08/2023 - SOlicitado prorrogação por mais 2 meses
27/07/2023 - Cobrado procedimento a ser adotado
24/07/2023 - Apolice recebida e juntada
21/07/2023 - Juntada efetuada sem apolice
18/07/2023 - Docs recebidos, exceto Apolice
27/06/2023 - Numerario, TR e RPR enviados, ag retorno
21/06/2023 - Solicitado prorrogação por 2 meses
01/06/2023 - Cobrado procedimento a ser adotado
24/01/2023 - Juntada efetuada DOSSIE  e E-CAC, Apolice recebida
23/01/2023 - Docs recebidos, exceto APOLICE, juntada efetuada, aguardando APOLICE
10/01/2023 - Informado que será prorrogado por 6 meses, numerario, RPR e TR enviados, aguardando retorno
25/11/2022 - Cobrado procedimento a ser adotado
20/01/2022 - Juntada efetuada no E-CAC e DOSSIE
03/01/2022 - Informado que será prorrogado por 12 meses
28/12/2021 - Cobrado novamente
23/11/2021 - Cobrado procedimento a ser adotado
23/07/2021 - Docs recebidos, aguardando APOLICE, juntada efetuada através do E-CAC e DOSSIE sem APOLICE, APOLICE recebida, doc juntado
06/07/2021 - Solicitado prorrogação por 6 meses, TR e Numerario enviados
25/06/2021 - Cobrado novamente
25/05/2021 - Cobrado procedimento a ser adotado
04/05/2021 - Esteiras do guindaste com defeito e foram reexportadas, DI 21/0585528-7 para novas esteiras, acopladas ao guindaste
08/02/2021 - Despacho Decisorio
21/01/2021 - Docs recebidos, juntada feita no E-CAC
13/01/2021 - Cobrado docs
23/12/2020 - Informado que será prorrogado por 6 meses, TR e Numerario enviados
23/11/2020 - Cobrado procedimento a ser adotado
15/09/2020 - Despacho Decisorio
09/09/2020 - E-CAC com erro (antivirus analisando constantemente), documentos feitos pelo SVA, e protocolo fisicamente junto a RECEITA
27/08/2020 - Solicitado prorrogação ate 23/01/2021, TR  e Numerário enviados
17/08/2020 - Cobrado novamente
10/07/2020 - Cobrado qual procedimento deverá ser adotado
18/06/2020 - Despacho Decisorio
08/06/2020 - Juntada enviada pelo E-CAC
28/05/2020 - TR e Numerario enviados, aguardando documentos
27/05/2020 - Cobrado novamente, será prorrogado por mais 3 meses
09/04/2020 - Cobrado procedimento a ser adotado
29/11/2019 - Juntada protocolada no e-CAC.
25/11/2019 - Recebido a documentação para inicio da prorrogação.
14/11/2019 - Cobrado qual procedimento será adotado.
31/10/2019 - Enviado o numerário e aguardando documentação para inicio da prorrogação.
29/10/2019 - Recebido a informação que será prorrogado por 6 meses.
09/10/2019 - Juntada enviada no e-CAC.
08/10/2019 - Recebido os documentos para inicio da prorrogação.
07/10/2019 - Cobrado documentação para inicio da prorrogação.
02/10/2019 - Cobrado documentação para inicio da prorrogação.
19/09/2019 - Enviando TR e numerario.
13/09/2019 - Inormado que será prorrogado por dois meses.
29/08/2019 - Cobrado qual procedimento será adotado.
24/06/2019 - Processo Incluso no controle</t>
  </si>
  <si>
    <t>I-19/0142-MBG</t>
  </si>
  <si>
    <t>CONTAINER OFICINA</t>
  </si>
  <si>
    <t>DIVERSOS EQUIPAMENTOS CONFROME DI</t>
  </si>
  <si>
    <t>10120.004638/0319-14</t>
  </si>
  <si>
    <t>19/12/2024 - Juntada efetuada
17/12/2024 - Docs recebidos
25/11/2024 - Cobrado procedimento a ser adotado
22/11/2024 - Juntada efetuada
22/11/2024 - Docs recebidos
14/11/2024 - Numerario enviado, ag retorno
12/11/2024 - SOlicitado renovaçao por mais 1 mes
30/09/2024 - Cobrado procedimento a ser adotado
21/06/2024 - Juntada efetuada
19/06/2024 - Docs recebidos
14/06/2024 - Numerario enviado, ag retorno
11/06/2024 - Solicitado prorrogação por mais 5 meses
03/06/2024 - Cobrado novamente
30/04/2024 - Cobrado procedimento a ser adotado
15/01/2024 - Juntada efetuada
12/01/2024 - Docs recebidos
05/01/2024 - RPR e Numerario enviados, ag retorno
04/01/2024 - Solicitado prorrogação por mais 5 meses
28/12/2023 - Cobrado novamente
01/12/2023 - Cobrado procedimento a ser adotado
21/07/2023 - Juntada efetuada pelo DOSSIE
18/07/2023 - Docs recebidos
26/06/2023 - Solicitado renovação por 6 meses, numerario enviado, ag retorno
01/06/2023 - Cobrado procedimento a ser adotado
19/01/2023 - Juntada efetuada no E-CAC e PORTAL UNICO
11/01/2023 - Recebidos docs
02/01/2023 - Enviado numerario equivalente a 6 meses, aguardando retorno
25/11/2022 - Cobrado procedimento a ser adotado
20/01/2022 - Juntada efetuada através do E-CAC e DOSSIE
03/01/2022 - Informado que será prorrogado por 12 meses
28/12/2021 - Cobrado novamente
23/11/2021 - Cobrado procedimento a ser adotado
21/07/2021 - Recebido docs, juntada efetuada pelo e E-CAC e DOSSIE
06/07/2021 - Solicitado prorrogação por 6 meses, TR e Numerario enviados
25/06/2021 - Cobrado novamente
25/05/2021 - Cobrado procedimento a ser adotado
23/04/2021 - Docs recebidos, juntada efetuada pelo E-CAC e DOSSIE
16/04/2021 - Cobrado novamente
30/03/2021 - Solcitado Prorrogação por 3 meses, Numerario enviado, ag docs
25/03/2021 - Cobrado novamente
22/02/2021 - Cobrado procedimento a ser adotado
04/02/2021 - Despacho Decisorio
21/01/2021 - Docs recebidos, juntada efetuada no E-CAC
13/01/2021 - Cobrado docs
30/12/2020 - Solicitado prorrogação por mais 3 meses, Numerario enviado
29/12/2020 - Cobrado novamente
23/11/2020 - Cobrado procedimento a ser adotado
30/09/2020 - Despacho Decisorio
09/09/2020 - Juntada enviada pelo E-CAC
27/08/2020 - Solicitado prorrogação ate 23/01/2021, TR  e Numerário enviados
17/08/2020 - Cobrado novamente
10/07/2020 - Cobrado qual procedimento deverá ser adotado
16/06/2020 - Despacho Decisorio
08/06/2020 - Juntada enviada pelo E-CAC
28/05/2020 - TR e numerario enviados, aguardando documentos
27/05/2020 - Cobrado novamente, informado que será prorrogado por mais 3 meses
09/04/2020 - Cobrado procedimento a ser adotado
29/11/2019 - Juntada enviada no e-CAC.
25/11/2019 -Recebido os documentos para inicio da prorrogação.
14/11/2019 - Cobrado documentos para inicio da prorrogação.
31/10/2019 - Enviado o numerário e aguardando documentação para inicio da prorrogação.
29/10/2019 - Recebido a informação que será prorrogado por 6 meses.
09/10/2019 - Juntada enviada no e-CAC.
08/10/2019 - Recebido os documentos para inicio da prorrogação.
07/10/2019 - Cobrado documentação para inicio da prorrogação.
02/10/2019 - Cobrado documentação para inicio da prorrogação.
19/09/2019 - Enviando TR e numerario.
13/09/2019 - Inormado que será prorrogado por dois meses.
29/08/2019 - Cobrado qual procedimento será adotado.
16/05/2019 - Processo Incluso no controle</t>
  </si>
  <si>
    <t>I-21/1419-MBG</t>
  </si>
  <si>
    <t>CC2800-1</t>
  </si>
  <si>
    <t>CONTRATO DE LOCAÇÃO DATADO DE 15/02/2018</t>
  </si>
  <si>
    <t>Seção de lança de 12 metros usada para guindaste Terex-Demag CC 2800 - 1 com todas as peças e acessórios para montagem e operação, marca: Terex Demag, tipo: 12 Meter Main Boom Insert 2724-20-01, numero de série 62277, fleet number 1331, ano de fabricação 2008 - usado.</t>
  </si>
  <si>
    <t>19/12/2024 - Juntada efetuada
18/12/2024 - Docs recebidos
25/11/2024 - Cobrado procedimento a ser adotado
25/11/2024 - Juntada efetuada
22/11/2024 - Docs recebidos
14/11/2024 - Numerario enviado, ag retorno
11/11/2024 - Solicitado prorrogaçao por mais 1 mes
30/09/2024 - Cobrado procedimento a ser adotado
21/06/2024 - Juntada efetuada
19/06/2024 - Docs recebidos
14/06/2024 - Numerario enviado, ag retorno
11/06/2024 - Soclitiado prorrogação por mais 5 meses
03/06/2024 - Cobrado novamente
30/04/2024 - Cobrado procedimento a ser adotado
22/03/2024 - Juntada efetuada
14/03/2024 - Docs recedibos
11/03/2024 - Informado que será prorrogado por mais 3 meses, numerario, RPR e TR enviados, ag retorno
01/03/2024 - Cobrado novamente
25/01/2024 - Cobrado procedimento a ser adotado
20/10/2023 - Juntada efetuada
18/10/2023 - Docs recebidos
06/10/2023 - TR, RPR e Numerario enviado, ag retorno
03/10/2023 - Informado que será prorrogado por mais 5 meses
29/09/2023 - Cobrado novamente
30/08/2023 - Cobrado procedimento a ser adotado
21/07/2023 - Juntada efetuada através do DOSSIE
19/07/2023 - Docs recebidos
27/06/2023 - Numerario, TR e RPR enviados, ag retorno
22/06/2023 - Solicitado prorrogação por 3 meses
01/06/2023 - Cobrado procedimento a ser adotado
19/01/2023 - Juntada efetuada através do DOSSIÊ
12/01/2023 - Docs recebidos
02/01/2023 - Enviado Numerario, RPR e TR equivalente a 6 meses, aguardando retorno
25/11/2022 - Cobrado procedimento a ser adotado
21/01/2022 - Juntada anexada ao DOSSIE
03/01/2022 - Informado que será renovado por 12 meses
28/12/2021 - Cobrado novamente
23/11/2021 - Cobrado procedimento a ser adotado
29/10/2021 - Processo incluido no controle</t>
  </si>
  <si>
    <t>I-24/0252-MBG</t>
  </si>
  <si>
    <t>JIB</t>
  </si>
  <si>
    <t>CONTRATO DE COMODATO DE 27/02/2024</t>
  </si>
  <si>
    <t>Lança auxiliar mecânica para aumentar o comprimento, altura e raio do guindaste, usado, capacidade: 90 tons, Marca: Grove, Modelo: RT 890E, ano de fabricação 2012, número de equipamento/série: 232649.</t>
  </si>
  <si>
    <t>23/12/2024 - Juntada efetuada, docs recebidos
29/11/2024 - Enviado numerario, ag retorno
27/11/2024 - Solicitado prorrogaçao por mais 4 meses
27/11/2024 - Cobrado procedimento a ser adotado
25/11/2024 - Juntada efetuada
22/11/2024 - Docs recebidos
14/11/2024 - Numerario enviado, ag retorno
12/11/2024 - Solicitado prorrogaçao por mais 1 mes
30/09/2024 - Cobrado procedimento a ser adotado
25/06/2024 - Juntada efetuada
25/06/2024 - Docs recebidos
17/06/2024 - Numerario enviado, ag retorno
11/06/2024 - Prorrogaçao por mais 5 meses
03/06/2024 - Cobrado novamente
30/04/2024 - Cobrado procedimento a ser adotado
08/04/2024 - Processo incluído no controle</t>
  </si>
  <si>
    <t>I-22/0623-MBG</t>
  </si>
  <si>
    <t>CKE1100G2 - KOBELCO</t>
  </si>
  <si>
    <t>Guindaste autopropelido sobre esteiras, marca Kobelco, modelo CKE1100 G-2 , número de serie GK06-05004, ano de fabricação 2016 - usado, número da frota 2678, computadorizado, acionado por motor diesel, capacidade de 110 toneladas, contra-pesos, com todos acessórios para seu funcionamento até 28 metros de lança, desmontado parcialmente para manuseio e transporte.</t>
  </si>
  <si>
    <t xml:space="preserve">PORTO DE SALVADOR - INTERMARITIMA TERMINAIS LTDA. </t>
  </si>
  <si>
    <t>26/12/2024 - Juntada efetuada
23/12/2024 - Docs recebidos
28/10/2024 - Cobrado procedimento a ser adotado
27/09/2024 - Juntada efetuada
27/09/2024 - Docs recebidos
09/09/2024 - Cobrado novamente
05/08/2024 - Cobrado procedimento a ser adotado
28/06/2024 - Juntada efetuada
27/06/2024 - Docs recebidos
14/06/2024 - Numerario enviado, ag retorno
13/06/2024 - Solicitado prorrogação por mais 3 meses
03/06/2024 - Cobrado novamente
30/04/2024 - Cobrado procedimento a ser adotado
27/12/2023 - Juntada efetuada.
30/11/2023 - Numerario e RPR enviados, ag retorno
22/11/2023 - Informado que será prorrogado por mais 6 meses
30/10/2023 - Cobrado procedimento a ser adotado
27/06/2023 - Juntada efetuada através do DOSSIE
27/06/2023 - Doctos recebidos
01/06/2023 - Solicitado prorrogação por 6 meses, TR, RAT  e Numerario enviados, ag retorno
26/04/2023 - Cobrado procedimento a ser adotado
28/07/2022 - Processo incluido no controle</t>
  </si>
  <si>
    <t>I-22/0631-MBG</t>
  </si>
  <si>
    <t>LR1300</t>
  </si>
  <si>
    <t>GUINDASTE AUTOPROPULSADO SOB ESTEIRAS, MARCA LIEBHERR, MODELO LR1300-W, SERIE 138128, ANO 2010 - USADO, NUMERO DE FROTA 1844, COM CAPACIDADE TOTAL DE ELEVAÇÃO MÁXIMA DE 300 TONELADAS, INTEIRAMENTE DESMONTADO PARA MANUSEIO E TRANSPORTE, COM TODOS OS SEUS ACESSÓRIOS PARA SEU FUNCIONAMENTO ATÉ 65 METROS DE LANÇA, COMPOSTODE: CORPO PRINCIPAL, ESTEIRAS, CONTRAPESOS, LANÇA PRINCIPAL , DISPOSITIVOS E FERRAMENTAS DE
MONTAGEM E IÇAMENTO E DEMAIS ACESSÓRIOS NECESSÁRIOS A OPERAÇÃO DO EQUIPAMENTO</t>
  </si>
  <si>
    <t>26/12/2024 - Juntada efetuada
23/12/2024 - Docs recebidos
28/10/2024 - Cobrado procedimento a ser adotado
27/09/2024 - Juntada efetuada
27/09/2024 - Docs recebidos
09/09/2024 - Cobrado novamente
05/08/2024 - Cobrado procedimento a ser adotado
28/06/2024 - Juntada efetuada
27/06/2024 - Docs recebidos
17/06/2024 - Numerario enviado, ag retorno
13/06/2024 - Prorrogação por mais 3 meses
30/04/2024 - Cobrado procedimento a ser adotado
26/12/2023 - Juntada efetuada.
30/11/2023 - Numerario e RPR enviados, ag retorno
22/11/2023 - Solicitado prorrogação por mais 6 meses
30/10/2023 - Cobrado procedimento a ser adotado
27/06/2023 - Juntada efetuada através do DOSSIE
26/06/2023 - Documentação recebida
01/06/2023 - Solicitado prorrogação por 6 meses, Numerario, TR e RAT enviados, aguardando retorno
26/04/2023 - Cobrado procediment a ser adotado
28/07/2022 - Processo incluido no controle</t>
  </si>
  <si>
    <t>I-22/0621-MBG</t>
  </si>
  <si>
    <t>CK1100 (KOBELCO)</t>
  </si>
  <si>
    <t>Guindaste autopropelido sobre esteiras, marca Kobelco, modelo CK1100 , número de serie GH04-03371, ano de fabricação 2014 - usado, número da frota 2611, computadorizado, acionado por motor diesel, capacidade de 110 toneladas, contra-pesos, com todos acessórios para seu funcionamento até 28 metros de lança, desmontado parcialmente para manuseio e transporte.</t>
  </si>
  <si>
    <t>26/12/2024 - Juntada efetuada
23/12/2024 - Docs recebidos
28/10/2024 - Cobrado procedimento a ser adotado
27/09/2024 - Juntada efetuada
27/09/2024 - Docs recebidos
09/09/2024 - Cobrado novamente
05/08/2024 - Cobrado procedimento a ser adotado
28/06/2024 - Juntada efetuada
27/06/2024 - Docs recebidos
14/06/2024 - Numerario enviado, ag retorno
13/06/2024 - Solicitado prorrogação por mais 3 meses
30/04/2024 - Cobrado procedimento a ser adotado
26/12/2023 - Juntada efetuada.
22/11/2023 - Informado que será prorrogado por mais 6 meses, Numerario e RPR enviados, ag retorno
30/10/2023 - Cobrado procedimento a ser adotado
28/06/2023 - Juntada efetuada através do DOSSIE
28/06/2023 - Recebido documentos
27/06/2023 - Cobrado retorno
01/06/2023 - Solicitado prorrogação por 6 meses, Numerario, TR e RAT enviados, aguardando retorno
26/04/2023 - Cobrado procedimento a ser adotado
28/07/2022 - Processo incluido no controle</t>
  </si>
  <si>
    <t>I-22/0630-MBG</t>
  </si>
  <si>
    <t>RT890E</t>
  </si>
  <si>
    <t>Caminhão Guindaste sobre Pneu com lança telescópica até 50 metros, capacidade máxima de elevação 90 toneladas, com 2 eixos totais sendo 2 eixos direcionáveis, pronto para manuseio e operação. Marca Grove, modelo RT890E, usado, ano de fabricação 2012, numero de série 232649, frota 2144.</t>
  </si>
  <si>
    <t>26/12/2024 - Juntada efetuada
23/12/2024 - Docs recebidos
08/11/2024 - Cobrado procedimento a ser adotado
28/09/2024 - Juntada efetuada
27/09/2024 - Docs recebidos
09/09/2024 - Cobrado novamente
05/08/2024 - Cobrado procedimento a ser adotado
28/06/2024 - Juntada efetuada
27/06/2024 - Docs recebidos
14/06/2024 - Numerario enviado, ag retorno
13/06/2024 - Solicitado prorrogação por mais 3 meses
30/04/2024 - Cobrado procedimento a ser adotado
28/12/2023 - Juntada efetuada
22/12/2023 - Recebido docs
30/11/2023 - Numerario e RPR enviados, ag retorno[
22/11/2023 - Solicitado prorrogaçção por mais 6 meses
30/10/2023 - Cobrado procedimento a ser adotado
03/07/2023 - Juntada efetuada através do DOSSIE, Apolice recebida em 30/06 a noite
28/06/2023 - Docs recebidos, exceto APOLICE. Anexado ao DOSSIE o que foi recebido
27/06/2023 - Cobrado retorno
01/06/2023 - Solicitado prorrogação por 6 meses, Numerario, TR e RAT enviados, aguardando retorno
26/04/2023 - Cobrado procedimento a ser adotado
28/07/2022 - Processo incluido no controle</t>
  </si>
  <si>
    <t>MARLIM AZUL</t>
  </si>
  <si>
    <t>E-24/0119-MRL</t>
  </si>
  <si>
    <t>LAUDO DE IDNETIFICAÇÃO DE MERCADORIAS</t>
  </si>
  <si>
    <t>15/05/2024 - Processo incluído no controle</t>
  </si>
  <si>
    <t>I-21/0242-MBG</t>
  </si>
  <si>
    <t>MID POINTS</t>
  </si>
  <si>
    <t>CONTRATO DE LOCAÇÃO S/NR
DATADO DE 30/07/2020</t>
  </si>
  <si>
    <t>Conjunto tensor para lança de 108 metros, tipo SSL/LSL, marca Terex, sem numero de serie , ano de fabricação 2008</t>
  </si>
  <si>
    <t>EADI EMBRAGEM-SP</t>
  </si>
  <si>
    <t>13032.193464/2021-68</t>
  </si>
  <si>
    <t>10/12/2024 - Despacho
04/12/2024 - Juntada efetuda
25/11/2024 - Solicitado prorrogaçao por mais 6 meses, ag retorno
18/11/2024 - Despacho
13/11/2024 - Intimaçao
06/11/2024 - Cobrado procedimento a ser adotado
01/11/2024 - Juntada efetuada
30/10/2024 - Docs recebidos
18/10/2024 - Numerario enviado, ag retorno
17/10/2024 - Solicitado renovaçao por mais 1 mes
14/10/2024 - Cobrado novamente
09/09/2024 - Cobrado procedimento a ser adotado
04/07/2024 - Juntada efetuada
02/07/2024 - Docs recebidos
25/06/2024 - Solicitado prorrogaçao por mais 4 meses, numerario enviado, ag retorno
10/06/2024 - Cobrado procedimento
05/06/2024 - Juntada efetuada
29/05/2024 - Docs recebidos
24/05/2024 - Enviado Numerario e RPR, ag retorno
21/05/2024 - Solicitadoprorrogação por mais 1 mes
08/05/2024 - Cobrado novamente
05/04/2024 - Cobrado procedimento a ser adotado
04/01/2024 - Juntada efetuada
03/01/2024 - Docs recebidos
08/11/2023 - Cobrado procedimento a ser adotado
14/07/2023 - Despacho decisorio
03/07/2023 - Juntada efetuada através do DOSSIÊ
28/06/2023 - Docs recebidos
20/06/2023 - Numerario e TR enviado, ag retorno
19/06/2023 - Informado que será prorrogado por 6 meses
09/05/2023 - Cobrado procedimento a ser adotado
21/03/2023 - Despacho Decisorio
01/03/2023 - Juntada efetuada atravé do DOSSIE
28/02/2023 - Cobrado retorno, recebido documentação
08/02/2023 - Solicitado prorrogação, enviado numerário, aguardando retorno
10/01/2023 - Cobrado procedimento a ser adotado
22/03/2022 - Despacho Decisorio
16/02/2022 - Juntada anexada através do DOSSIE
08/02/2022 - Solicitado prorrogação por 12 meses, solicitação de numerário enviada, ag retorno
05/01/2022 - Cobrado procedimento a ser adotado
14/09/2021 - Despacho Decisorio
30/08/2021 - Docs recebidos, docs anexados ao DOSSIE
06/08/2021 - Solicitado renovação por 6 meses, enviado numerário, ag docs
13/07/2021 Cobrado procedimento a ser adotado
11/05/2021 - Processo incluído no controle</t>
  </si>
  <si>
    <t>I-19/0475-MBG</t>
  </si>
  <si>
    <t>PENOANT</t>
  </si>
  <si>
    <t>PARTE DO GUINDASTE TEREX DEMAG - ANO DE FABRICAÇÃO 2018, SEM NUMERO DE SERIE</t>
  </si>
  <si>
    <t xml:space="preserve">EADI EMBRAGEM </t>
  </si>
  <si>
    <t>10120.004974/0519-84</t>
  </si>
  <si>
    <t>10/12/2024 - Despacho
04/12/2024 - Juntada efetuada
25/11/2024 - Numerario enviado, ag retorno
22/11/2024 - Cobrado renovaçao por mais 6 meses
18/11/2024 - Despacho
14/11/2024 - Intimaçao
06/11/2024 - Initmaçao
06/11/2024 - Juntada efetuada
30/10/2024 - Docs recebidos
18/10/2024 - Numerario enviado, ag retorno
17/10/2024 - Solciitado prorrogaçao por mais 1 mes
14/10/2024 - Cobrado novamente
09/09/2024 - Cobrado procedimento a ser adotado
08/07/2024 - Despacho decisorio
05/07/2024 - Juntada efetuada
02/07/2024 - Docs recebidos
25/06/2024 - Solicitado prorrogação por mais 4 meses, numerario enviado, ag retorno
08/05/2024 - Cobrado procedimento a ser adotado
05/02/2024 - Juntada efetuada, despacho decisorio
30/01/2024 - Docs recebidos
19/01/2024 - RPR e Numerario enviados, ag retorno
17/01/2024 - Solicitado prorrogação por mais 5 meses
15/01/2024 - Cobrado novamente
01/12/2023 - Cobrado procedimento a ser adotado
18/08/2023 - Despacho Decisorio
03/08/2023 - Juntada efetuada
26/07/2023 - Recebido docs
10/07/2023 - Enviado numerario, ag retorno
04/07/2023 - Informado que será prorrogado por 6 meses
15/06/2023 - Cobrado procedimento a ser adotado
17/02/2023 - Intimação respondida, Despacho Decisorio
10/02/2023 - Intimação
31/01/2023 - Juntada efetuada no ECAC e DOSSIE
19/01/2023 - Docs recebidos
02/01/2022 - Informado que será renovado por 6 meses, Numerário enviado, aguardando retorno
07/12/2022 - Cobrado procedimento a ser adotado
09/02/2022 - Despacho Decisorio
03/02/2022 - Juntada efetuada pelo E-CAC e DOSSIE
01/02/2022 - Recebido documentação
19/01/2022 - Cobrado procedimento a ser adotado, solicitado prorrogação por 12 meses, numerário enviado, aguardando retorno
16/08/2021 - Despacho Decisorio
05/08/2021 -Docs recebidos, Juntada efetuada pelo E-CAC e DOSSIE
15/07/2021 - Solicitado prorrogação por 6 meses, solicitação de Numerario enviado, aguardando retorno
07/06/2021 - Cobrado procedimento a ser adotado
08/02/2021 - Despacho Decisorio
03/02/2021 - Docs recebidos, juntada efetuada pelo E-CAC
01/02/2021 - Cobrado docs
30/12/2020 - Solicitado prorrogação por 6 meses, Numerario enviado
07/12/2020 - Cobrado procedimento
10/09/2020 - Despacho Decisorio
03/09/2020 - Juntada enviada pelo E-CAC
31/08/2020 - Cobrado documentos
12/08/2020 - Solicitado prorrogação de 5 meses, TR e Numerário enviados, aguardando Transferencia e documentos.
08/07/2020 - Cobrado qual procedimento deverá ser adotado
09/06/2020 - Depacho Decisorio
04/06/2020 - Protocolo da Juntada Enviada
01/06/2020 - Cobrado novamente
28/05/2020 - TR e Numerario enviados, aguardando documentação
27/05/2020 - Cobrado novamente, informado que será prorrogado por mais 3 meses
06/04/2020 - Cobrado procedimento a ser adotado
09/12/2019 - Despacho decisório
29/11/2019 - Juntada enviada no e-CAC. 
25/11/2019 - Cobrado docutamação para inicio da prorrogação.
14/11/2019 - Cobrado qual procedimento será adotado.
31/10/2019 - Enviado o numerário e aguardando documentação para inicio da prorrogação.
29/10/2019 - Recebido a informação que será prorrogado por 6 meses.
19/07/2019 - Processo Incluso no controle</t>
  </si>
  <si>
    <t>VEOLIA</t>
  </si>
  <si>
    <t>I-24/1022-VEO</t>
  </si>
  <si>
    <t>Aquaforce 7500</t>
  </si>
  <si>
    <t>CONTRATO COMODATO 13/05/2024</t>
  </si>
  <si>
    <t>UNIDADE MÓVEL DE PRODUÇÃO DE ÁGUA POTÁVEL, AUTÓNOMA E DE GRANDE CAPACIDADE (15 M3/H), ADAPTADO AO CONTEXTO DE EMERGÊNCIA HUMANITÁRIA PARA DISTRIBUIÇÃO DIRETA ÀS PESSOAS AFETADAS POPULAÇÃO E/OU EM CAMPOS DE REFUGIADOS, EQUIPADO COM MEMBRANAS DE ULTRAFILTRAÇÃO COM LIMITE DE CORTE DE 0,04 ΜM, ELIMINA TODOS OS COLÓIDES E BACTÉRIAS, ASSIM COMO A MAIORIA DOS VÍRUS POTENCIALMENTE PRESENTES NA ÁGUA BRUTA, PROCEDIMENTO É COMPLETADO POR UM TRATAMENTO DE CARVÃO ATIVADO GRANULAR PARA TRATAR COR, ODOR E ALGUMA POLUIÇÃO COMPLEXA E COMPLETADO PELA INJEÇÃO DE CLORO PARA FINALIZAR A DESINFECÇÃO E GARANTIR A PERSISTÊNCIA NA ÁGUA DISTRIBUÍDA. MARCA: VEOLIA MODELO: AF7500UF SÉRIE: FV/UF/7500/1 ANO DE FABRICAÇÃO: 2019 USADO.</t>
  </si>
  <si>
    <t>23/05/2024 - Processo incluído no controle</t>
  </si>
  <si>
    <t>E-23/0033-MBG</t>
  </si>
  <si>
    <t>001/23</t>
  </si>
  <si>
    <t>CONTRATO DE ALUGUEL DE 15/02/2023</t>
  </si>
  <si>
    <t>MACACO HIDRAULICO PARA ELEVAÇÃO DE DUPLA AÇÃO, MARCA MAMMOET, MODELO JA-CL-DA-300-2, SERIE/SAP. 5266666 / 5266667 /5266669 / 5266671 / 5266673 / 5266674 / 5266675 / 5266676, CAPACIDADE DE 300 TONELADAS, ANO DE FABRICAÇÃO 2009. INCLUINDO SEUSACESSORIOS, DESMONTADO PARA MANUSEIO E TRANSPORTE</t>
  </si>
  <si>
    <t>21/11/2024 - Juntada efetuada
21/11/2024 - Docs recebidos
07/11/2024 - Informado que será prorrogado por mais 6 meses, ag retorno
30/09/2024 - Cobrado procedimento a ser adotado
20/09/2024 - Juntada efetuada
20/09/2024 - Docs recebidos
16/09/2024 - Solicitado prorrogaçao por mais 2 meses, RPR enivado, ag retorno
09/09/2024 - Cobrado novamente
25/07/2024 - Cobrado procedimento a ser adotado
19/07/2024 - Juntada efetuada
19/07/2024 - Docs recebidos
17/07/2024 - RPR enviado, ag retorno
16/07/2024 - Solicitado prorrogaçao por mais 2 meses
05/07/2024 - Cobrado novamente
03/06/2024 - Cobrado procedimento a ser adotado
19/01/2024 - Juntada efetuada
17/01/2024 - Docs recebidos
05/01/2024 - RPR enviado, ag retorno
04/01/2024 - Solicitado prorrogação por mais 6 meses
28/12/2023 - Cobrado novamente
21/11/2023 - Cobrado procedimento a ser adotado
20/10/2023 - Juntada efetuada
19/10/2023 - Recebido Aditivo
11/10/2023 - RPR enviado, ag retorno
10/10/2023 - Informado que será renovado por 3 meses
29/09/2023 - Cobrado novamente
21/08/2023 - Cobrado procedimento a ser adotado
08/03/2023 - Processo incluido no controle</t>
  </si>
  <si>
    <t>I-22/0632-MBG</t>
  </si>
  <si>
    <t>PEÇAS SPMT</t>
  </si>
  <si>
    <t>Dispositivo especial para conexão física de grupos de linha de eixo, modelo CO-BL-SCH-BX-2, ano de fabricação 2007 - usado, frota nº 5601638, cor vermelho. Utilizado em veiculo autopropelido para transporte a pequena distancia de estrutura de grande dimensão.</t>
  </si>
  <si>
    <t>29/11/2024 - Juntada efetuada
28/11/2024 - Docs recebidos
25/11/2024 - Numerario enviado, ag retorno
21/11/2024 - Solicitado prorrogaçao por mais 6 meses
30/09/2024 - Cobrado procedimento a ser adotado
28/06/2024 - Juntada efetuada
27/06/2024 - Docs recebidos
17/06/2024 - Numerario enviado, ag retorno
13/06/2024 - Porrogação por mais 5 meses
30/04/2024 - Cobrado procedimento a ser adotado
29/12/2023 - Juntada efetuada
22/12/2023 - Docs recebidos
01/12/2023 - Enviado RPR e Numerario, ag retorno
22/11/2023 - Solicitado prorrogação por mais 6 meses
30/10/2023 - Cobrado procedimento a ser adotado
28/06/2023 - Juntada efetuada pelo DOSSIE
15/06/2023 - Enviado documentação
01/06/2023 - Solicitado prorrogação por 6 meses, Numerario enviado, aguardando retorno
26/04/2023 - Cobrado procedimento a ser adotado
28/07/2022 - Processo incluido no controle</t>
  </si>
  <si>
    <t>I-21/1596-MBG</t>
  </si>
  <si>
    <t>MOITAO CC2800</t>
  </si>
  <si>
    <t>CONTRATO DE COMODATO DATADO EM 10/09/2021</t>
  </si>
  <si>
    <t>03/12/2024 - Juntada efetuda
25/11/2024 - Solicitado prorrogacao por mais 6 meses, numerario enviado ag retorno
06/11/2024 - Cobrado procedimento a ser adotado
04/11/2024 - Juntada efetuada
29/10/2024 - Docs recebidos
18/10/2024 - Numerario enviado, ag retorno
17/10/2024 - Solicitado prorrogaçao por mais 1 mes
09/09/2024 - Cobrado procedimento a ser adotado
05/07/2024 - Juntada efetuada
05/07/2024 - Docs recebidos
25/06/2024 - Solicitado prorrogação por mais 4 meses, numerario enviado, ag retorno
10/06/2024 - Cobrado procedimento
06/06/2024 - Juntada efetuada
05/05/2024 - Docs recebidos
27/05/2024 - Solicitado renovação por mais 1 nes, ag retorno
08/05/2024 - Cobrado novamente
15/04/2024 - Cobrado procedimento a ser adotado
05/01/2024 - Juntada efetuada
05/01/2024 - Docs recebidos
08/11/2023 - Cobrado procedimento a ser adotado
06/07/2023 - Juntada efetuada através do DOSSIE
27/06/2023 - Docs recebidos
19/06/2023 - Informado que será prorrogado por 6 meses, Numerario enviado, ag retorno
09/05/2023 - Cobrado procedimento a ser adotado
05/04/2023 - Juntada efetuada pelo DOSSIE
04/04/2023 - Docs recebidos
15/03/2023 - Numerario enviado, ag retorno
14/03/2023 - Cobrado novamente, informado que será prorrogado por mais 3 meses
08/02/2023 - Cobrado procedimento a ser adotado
06/04/2022 - Juntada anexada ao DOSSIE
31/03/2022 - Cobrado documentos novamente
14/03/2022 - Solicitado renovação por 12 meses, numerário enviado
09/03/2022 - Cobrado novamente
04/02/2022 - Cobrado procedimento a ser adotado
29/10/2021 - Processo incluido no controle</t>
  </si>
  <si>
    <t>I-21/0555-MBG</t>
  </si>
  <si>
    <t>ATUADRO CC2800</t>
  </si>
  <si>
    <t>CONTRATO DE LOCAÇÃO Nº DH-MEGA17CONT</t>
  </si>
  <si>
    <t>CONJUNTO USADO, DE ATUADOR HIDROELÉTRICA DESMONTADO PARA CILINDRO ESTABILIZADOR DO CONJUNTO DE TRILHA ESTREITA PARA GUINDASTE CC-2800</t>
  </si>
  <si>
    <t>10/12/2024 - Juntada efetuada
03/12/2024 - Docs recebidos
25/11/2024 - Solicitado prorrogaçao por mais 6 meses, numerario enviado, ag retorno
18/11/2024 - Cobrado procedimento a ser adotado
11/11/2024 - Juntada efetuada
11/11/2024 - Docs recebidos
22/10/2024 - Numerario enviado, ag retorno
21/10/2024 - Solciitado prorrogaçao por mais 1 mes
14/10/2024 - Cobrado novamente
30/09/2024 - Cobrado procedimento a ser adotado
11/06/2024 - Juntada efetuada
07/06/2024 - Docs recebidos
29/05/2024 - Solicitado prorrogação por mais 1 mes, ag retorno
15/04/2024 - Cobrado procedimento a ser adotado
11/01/2024 - Juntada efetuada
09/01/2024 - Docs recebidos
04/01/2024 - Numerario e RPR enviados, ag retorno
03/01/2024 - Informado que será prorrogado por mais 4 meses
28/12/2023 - Cobrado novamente
21/11/2023 - Cobrado procedimento a ser adotado
10/07/2023 - Juntada efetuada através do DOSSIE
07/07/2023 - Docs recebidos
20/06/2023 - Numerario enviado, ag retorno
19/06/2023 - Informado que será prorrogado por 6 meses
18/05/2023 - Cobrado procedimento a ser adotado
06/04/2023 - Juntada efetuada no DOSSIE
04/04/2023 - Docs recebidos
15/03/2023 - Numerario enviado, ag retorno
14/03/2023 - Cobrado novamente, Informado que será prorrogado por 3 meses
16/02/2023 - Cobrado procedimento a ser adotado
11/04/2022 - Juntada anexada ao DOSSIE
07/04/2022 - Informado que será prorrogado por 12 meses, numerário enviado, aguardando retorno
28/03/2022 - Cobrado novamente
14/02/2022 - Cobrado procedimento a ser adotado
13/10/2021 - Recebido documentos, e anexados ao DOSSIE
05/10/2021 - Cobrado novamente, solicitado prorrogação por 6 meses, Numerario enviado, aguardando retorno
27/09/2021 - Cobrado novamente
16/08/2021 - Cobrado procedimento a ser adotado
26/04/2021 - Processo incluido no controle</t>
  </si>
  <si>
    <t>I-22/0809-MBG</t>
  </si>
  <si>
    <t>Power Pack de movimento retilíneo (cilindros), marca Scheuerle Fahrzeugfabrik GmbH, modelo PPU Z350DC, número de série W09913XXX6PS17973, frota 303793, ano de fabricação 2006, usado, com dispositivos e ferramentas de montagem e acessórios necessários para operação.</t>
  </si>
  <si>
    <t>17/12/2024 - Juntada efetuada
16/12/2024 - Docs recebidos
29/11/2024 - Numerario enviado, ag retorno
28/11/2024 - Solicitado prorrogaçao por mais 6 meses
25/11/2024 - Cobrado procedimento a ser adotado
21/11/2024 - Juntada efetuada
21/11/2024 - Docs recebidos
14/11/2024 - Numerario enviado, ag retorno
12/11/2024 - Solicitado prorrogaçao por mais 1 mes
30/09/2024 - Cobrado procedimento a ser adotado
21/08/2024 - Juntada efetuada
12/08/2024 - Docs recebidos
07/08/2024 - Numerario enviado, ag retorno
05/08/2024 - Solicitado prorrogação por mais 3 meses
25/06/2024 - Cobrado procedimento a ser adotado
21/06/2024 - Juntada efetuada
19/06/2024 - Docs recebidos
17/06/2024 - Numerario enviado, ag retorno
11/06/2024 - Prorrogação por mais 2 meses
03/06/2024 - Cobrado novamente
30/04/2024 - Cobrado procedimento a ser adotado
22/12/2023 - Juntada efetuada.
01/12/2023 - RPR e Numerario enviados, ag retorno
22/11/2023 - Solicitado renovação por mais 6 meses
26/10/2023 - Cobrado procedimento a ser adotado
21/06/2023 - Juntada efetuada através do DOSSIE
21/06/2023 - Recebido Apolice
16/06/2023 - Recbido documentação exceto Apolice
02/06/2023 - Solicitado prorrogação por 6 meses, TR, RPR e Numerário enviados, agr retorno
01/06/2023 - Cobrado novamente
03/05/2023 - Cobrado procedimento a ser adotado
22/09/2022 - Processo incluido no controle</t>
  </si>
  <si>
    <t>I-22/0688-MBG</t>
  </si>
  <si>
    <t>SPMT (REP. DOMINICANA)</t>
  </si>
  <si>
    <t>Power Pack de movimento retilíneo (cilindros), marca Scheuerle Fahrzeugfabrik GmbH, modelo PPU Z350DC, número de série W09932XX88PS17574, frota 303764, ano de fabricação 2009, usado, com dispositivos e ferramentas de montagem e acessórios necessários para operação.</t>
  </si>
  <si>
    <t>18/12/2024 - Juntada efetuada
17/12/2024 - Docs recebidos
29/11/2024 - Enviado numerario, ag retorno
28/11/2024 - Solicitado prorrogaçao por mais 6 meses
25/11/2024 - Cobrado procedimento a ser adotado
22/11/2024 - Juntada efetuada
22/11/2024 - Docs recebidos
14/11/2024 - Numerairo enviado, ag retorno
12/11/2024 - Solicitado prorrogaçao por mais 1 mes
30/09/2024 - Cobrado procedimento a ser adotado
22/08/2024 - Juntada efetuada
12/08/2024 - Docs recebidos
07/08/2024 - Numerario enviado, ag retorno
05/08/2024 - Solicitado prorrogação por mais 3 meses
25/06/2024 - Cobrado procedimento a ser adotado
21/06/2024 - Juntada efetuada
19/06/2024 - Docs recebidos
17/06/2024 - Numerario enviado, ag retorno
11/06/2024 - Prorrogaçao por mais 2 meses
03/06/2024 - Cobrado novamente
30/04/2024 - Cobrado procedimento a ser adotado
21/09/2023 - Juntada efetuada pelo DOSSIE
21/09/2023 - Recebido docs
31/07/2023 - Enviado numerario, TR e RPR., ag retorno
26/07/2023 - Informado que sera prorrogado por mais 12 meses
26/06/2023 - Cobrado procedimento a ser adotado
04/10/2022 - Processo incluido no controle</t>
  </si>
  <si>
    <t>I-24/2191-DTE</t>
  </si>
  <si>
    <t>DRAGA LINDWAY</t>
  </si>
  <si>
    <t>SUPPLYTIME 2017</t>
  </si>
  <si>
    <t>NOME DA LINDWAY EMBARCAÇÃO: TIPO DE EMBARCAÇÃO: DRAGAS AUTOTRANSPORTADORAS DE ARRASTO E SUCÇÃO IMO: 8402773 BANDEIRA:BELIZE CLASSE:*A1, SERVIÇO DE DRAGAGEM, © , *AMS, *ACCU CLASSIFICAÇÃO: AMERICAN BUREAU OF SHIPPING CÓDIGO INDICATIVO: V3NR7 CONSTRUÇÃO: 1985, EUA, EQUIPADO COM PRAÇA DE MÁQUINAS,
SALA DE BOMBAS DE PROA, PAIOL DE TINTAS, SALA DE AR CONDICIONADO, SALA DE LEME, TREMONHA, PONTE. O NAVIO ESTÁ EQUIPADO COM UMA ACOMODAÇÃO PARA 24 PESSOAS.DIMENSÕES:COMPRIMENTO TOTAL: 93,88 METROS COMPRIMENTO ENTRE PERPENDICULARES: 84,73 METROS BOCA MOLDADA: 16,76 METROS PROFUNDIDADE MOLDADA A MEIA-NAU: 7,47 METROS CALADO DE VERÃO: 6,05 METROS CALADO DE DRAGAGEM: 6,05 METROS ALTURA: 24,99 METROS TONELAGEM (T):TONELAGEM BRUTA: 3498 TONELAGEM LÍQUIDA: 1049 PORTE BRUTO: 4096,6 TN CAPACIDADE DA TREMONHA (TOPO DA BRAÇOLA): 2893 M3 TUBO DE ARRASTO DE SUCÇÃO: 2 COM DIÂMETRO DE 711 MILÍMETROS TUBO DE DESCARGA PARA TREMONHA: DIÂMETRO DE 711 MILÍMETROS
TUBO DE DESCARGA PARA A COSTA: DIÂMETRO DE 711 MILÍMETROS PROFUNDIDADE DE DRAGAGEM: 24,4 METROS VELOCIDADE MÁXIMA: 12,75 NÓS POTÊNCIA TOTAL INSTALADA DO DIESEL: 11739 KW MOTORES PRINCIPAIS:2 MOTORES À DIESEL GENERAL ELECTRIC DE 16 CILINDROS, TIPO 16V250MDB, CADA UM COM POTÊNCIA NOMINAL DE 4035 KW / 5412HP, A 1000 RPM, CADA UM ACIONANDO 1 HÉLICE DE PASSO FIXO POR MEIO DE UMA CAIXA DE REDUÇÃO MASON. GERADOR AUXILIAR:3 MOTORES CATERPILLAR À DIESEL DE 6 CILINDROS, TIPO CAT C18, POTÊNCIA NOMINAL DE 546,5 KW A 1.800 RPM, ACIONANDO 1 GERADOR.DE
EMERGÊNCIA:1 MOTOR CATERPILLAR À DIESEL DE 8 CILINDROS, TIPO CAT 3408, POTÊNCIA NOMINAL DE 208 KW A 1.800 RPM, ACIONANDO 1 GERADOR.HÉLICES:2 HÉLICES DE PASSO CONTROLÁVEL DE BRONZE COM 4 PÁS.IMPULSOR DE PROA: 1 SCHOTTEL S-300-L, ACIONADO POR MOTOR DE 370 KW E HÉLICE DE PASSO FIXO EM TÚNEL.BOMBA DE DRAGAGEM: 2 BOMBAS GIW WBC 26X28-64, SINGLE WALLED, ACIONADAS PELO MOTOR PRINCIPAL POR MEIO DE UMA CAIXA DE REDUÇÃO. BOMBA DE RECALQUE: 1 BOMBA, SINGLE WALLED, VOSTA, TIPO IHC 175-37,5-75, ACIONADA POR UM MOTOR DIESEL DE 932KW/1258HP, 1800RPM
CATERPILLAR 3512 DL-TA, ATRAVÉS DE UMA CAIXA DE REDUÇÃO STORK.BOMBAS DE ÁGUA A JATO:2 BOMBAS GIW LCC-H 250-660, ACIONADAS POR 1 GERADORÀ DIESEL CATERPILLAR 3512, 1652 KWCAPACIDADE DOS TANQUES:ÓLEO COMBUSTÍVEL: 1161,108 M³ ÓLEOS LUBRIFICANTES: 23,03 M³ ÁGUA DOCE: 125,65 T GUINDASTES DE CONVÉS: 1 GUINDASTE HIDRÁULICO APPLETON MARINE DE 3 TONELADAS, SWL (CARGA DE TRABALHO SEGURA) 990 KG 1 GUINDASTE HIDRÁULICO APPLETON MARINE DE 20 TONELADAS, SWL 990 KG ACOMODAÇÃO:A ACOMODAÇÃO É COMPOSTA POR 4 CONVESES.</t>
  </si>
  <si>
    <t>CHIBATAO - MANAUS/AM</t>
  </si>
  <si>
    <t>29/10/2024 - Processo incluído no controle</t>
  </si>
  <si>
    <t>TRANSDATA</t>
  </si>
  <si>
    <t>I-23/0861-TRA</t>
  </si>
  <si>
    <t>ADM TEMP M18000</t>
  </si>
  <si>
    <t>LEASE AGREEMENT (BARE RENTAL)</t>
  </si>
  <si>
    <t>GUINDASTE AUTOPROPULSADO SOBRE ESTEIRA, MARCA: MANITOWOC MODELO: M18000, CAPACIDADE DE ELEVAÇÃO: 750
TONELADAS, NÚMERO DE SÉRIE: 1800-1036, USADO ANO DE FABRICAÇÃO: 2007, COMPUTADORIZADO, ACIONADO POR MOTOR DIESEL
, COM SUPERESTRUTURA, LANÇA PRINCIPAL, LANÇA MASTRO, SUPERLIFT MAXER COM TODOS OS ACESSÓRIOS PARA SEU
FUNCIONAMENTO, PARCIALMENTE DESMONTADO PARA MANUSEIO E TRANSPORTE.</t>
  </si>
  <si>
    <t>TERMINAL MULTICARGAS - PORTO DO AÇU/RJ</t>
  </si>
  <si>
    <t>21/08/2024 - Juntada efetuada
21/08/2024 - Docs recebidos
01/07/2024 - Numerario enviado, ag retorno
26/06/2024 - Solicitado prorrogação por mais 12 meses
25/06/2024 - Cobrado procedimento a ser adotado
06/10/2023 - Processo incluido no controle</t>
  </si>
  <si>
    <t>TSE S/A</t>
  </si>
  <si>
    <t>I-24/1189-TOY</t>
  </si>
  <si>
    <t>TRN030</t>
  </si>
  <si>
    <t>CONTRATO ENTRE TOYO E THERMOGEN DE 22/11/2023</t>
  </si>
  <si>
    <t>PORTO DE ITAQUI - SÃO LUIS/MA</t>
  </si>
  <si>
    <t>23/09/2024 - Processo incluído no controle</t>
  </si>
  <si>
    <t>I-24/1826-VEO</t>
  </si>
  <si>
    <t>PILOT TEST PETROBRÁS</t>
  </si>
  <si>
    <t>INSTRUMENTO PARTICULAR DE CONTRATO DE COMODATO</t>
  </si>
  <si>
    <t>COMBINACAO DE MAQUINAS PARA DESAERACAO (SEPARACAO DE FASES LIQUIDA E GASOSA) COM MEMBRANAS CONTATORAS CONTENDO 1 BOMBA CENTRIFUGA MONOBLOCO, 1 BOMBA DE VACUO, 1 GERADOR DE NITROGENIO, 1 COMPRESSOR DE AR, 1 REFIGERADOR PARA AR COMPRIMIDO. MEDIDOR
DE VAZAO, PRESSOSTATO, SENSOR DE TEMPERATURA, TRANSMISSOR DE PRESSAO, ANALISADOR DE OXIGENIO DISSOLVIDO, VALVULAS DOS TIPOS ESFERA, BORBOLETA, SOLENOIDE E RETENCAO. 2 CARCACAS DE MEMBRANA, ONDE OS ELEMENTOS MECANICOS SAO INTERLIGADOS POR TUBULACOES
DE PVC-U PODENDO SER COLADOS OU PARAFUSADOS E OS DISPOSITIVOS ELETRICOS SAO INTERLIGADOS ATRAVES DE CABOS A UM PAINEL CENTRAL.MONTADOS SOBRE UMA BASE (FRAME) METALICA QUE CONTA COM SUPORTES PARA ALGUNS ITENS, DISPOSTOS EM UMA MONTAGEM PERMANENTE ALOCADA EM CONTAINER PARA USO NA REMOCAO DE GASES DISSOLVIDOS EM AGUA DE PROCESSO DE PETROLIFERA. NÚMERO CONTAINER:JKCU101043722G1 ANO FABRICAÇÃO: 2016 - USADO.</t>
  </si>
  <si>
    <t>AURORA TERMINAIS - SOROCABA/SP</t>
  </si>
  <si>
    <t>29/11/2024 - Processo incluído no controle</t>
  </si>
  <si>
    <t>MITSUBISHI</t>
  </si>
  <si>
    <t>I-23/1919-MIT</t>
  </si>
  <si>
    <t>TL 58415</t>
  </si>
  <si>
    <t>CONTRATO DE COMODATO DE 20/09/2023</t>
  </si>
  <si>
    <t>18/09/2024 - Juntada efetuada
16/09/2024 - Docs recebidos
02/09/2024 - Numerario, RPR e TR enviados, ag retorno
15/08/2024 - Solicitado prorrogaçao por mais 12 meses
14/08/2024 - Cobrado procedimento a ser adotado
19/10/2023 - Processo incluido no controle</t>
  </si>
  <si>
    <t>I-23/1722-TRA</t>
  </si>
  <si>
    <t>PPU + SPTM</t>
  </si>
  <si>
    <t>21/10/2024 - Juntada efetuada
15/10/2024 - Docs recebidos
02/09/2024 - Numerario enviado, ag retorno
22/08/2024 - Solicitado prorrogaçao por mais 12 meses
22/08/2024 - Cobrado procedimento a ser adotado
29/12/2023 - Processo incluido no controle</t>
  </si>
  <si>
    <t>I-21/1334-MEG</t>
  </si>
  <si>
    <t>WS21-1</t>
  </si>
  <si>
    <t>CONTRATO DE LOCAÇÃO DE EQUIPAMENTOS Nº DH-MEGA18</t>
  </si>
  <si>
    <t>03/11/2021 - Processo incluido no controle</t>
  </si>
  <si>
    <t>I-17/1964-MEG</t>
  </si>
  <si>
    <t>US17-2</t>
  </si>
  <si>
    <t>CONTRATO DE LOCAÇÃO Nº DH-MEGA15</t>
  </si>
  <si>
    <t>10010.005227/0118-79</t>
  </si>
  <si>
    <t>31/01/2022 - Despacho Decisorio
24/01/2022 - Juntada efetuada ao DOSSIE e E-CAC
24/01/2022 - Docs recebidos
11/01/2022 - Solicitado prorrogação por 48 meses (4 anos), aguardando retorno dos documentos
13/12/2021 - Cobrado procedimento a ser adotado
13/08/2021 - Despacho de encaminhamento
22/02/2018 - Recebido Despacho Decisório - Venc. 09/02/2022
20/02/2018 - Processo Incluso no controle</t>
  </si>
  <si>
    <t>I-24/1778-TRA</t>
  </si>
  <si>
    <t>MOITÃO</t>
  </si>
  <si>
    <t>CONTRATO DE EMPRESTIMO 2022208</t>
  </si>
  <si>
    <t>PARTE DE GUINDASTE, SENDO: MOITÃO EM AÇO DE 600TON, USADO, MARCA: MANITOWOC, MODELO: M18000, NÚMERO DE SÉRIE: 0864160, ANO DE FABRICAÇÃO: 2009</t>
  </si>
  <si>
    <t>30/09/2024 - Processo incluído no controle</t>
  </si>
  <si>
    <t>BOWLINE</t>
  </si>
  <si>
    <t>I-24/0782-BWL</t>
  </si>
  <si>
    <t>ADM TEMP</t>
  </si>
  <si>
    <t>CONTRATO DE EMPRESTIMO DE 11/03/2024</t>
  </si>
  <si>
    <t>EQUIPAMENTO PARA TESTES DE VIBRACOES EM BERCO MARITIMO DE AMARRACAO DE EMBARCACOES, MARCA: BOLLARDSCAN, COMPOSTO POR UNIDADE DE ROCESSAMENTO DE DADOS, CAMERA DIGITAL, SENSORES, CABEAMENTOS E CONECTORES. COM SOFTWARE INTEGRADO. EQUIPAMENTO SEMIDESMONTADO NAS SEGUINTES PARTES INDENTIFICADAS: BOLLARDSCAN ITENS NR(S): BOLL-LPT 001 / BOLMPAN 001 / BOLL MSOFF 001 / BOLLMPHW 002 / BOLL-ACC 622B01 /BOLL-MAG080A131 / BOLLCAB508BR01AC / BOLL-CCOUP 779680-01 /BOLL- COUPHOU 781425-01 / BOLL- HAM086D20 / BOLLHAMCA
426-2094 / BOLL-DIGICAM. SERIAL NR(S): LAPTOP: CF53-SBWHDCA / DONGLE: 1645072556 / ACELEROMETROS: LW 067391 (R); LW 063161 (Y) E LW 067402 (B) / CABO DO ACOPLADOR: 1EDCDF1 / ACOPLADOR: 1EEC665 / HAMMER SN 47723 / PONTAS: NONE / CABO: NONE / CABO: NONE / CAMERA: VIVICAM090/ USADO / ANO DE FABRICAÇÃO: 2021.</t>
  </si>
  <si>
    <t>EADI LACHMANN - SÃO BERNARDO/SP</t>
  </si>
  <si>
    <t>25/06/2024 - Processo incluído no controle</t>
  </si>
  <si>
    <t>I-22/1926-MEG</t>
  </si>
  <si>
    <t>PFWS22-4</t>
  </si>
  <si>
    <t>CONTRATO DE LOCAÇÃO DE EQUIPAMENTOS Nº DH-MEGA20</t>
  </si>
  <si>
    <t>06/10/2023 - Processo incluido no controle</t>
  </si>
  <si>
    <t>I-22/1689-MEG</t>
  </si>
  <si>
    <t>WS22-3VEICULO</t>
  </si>
  <si>
    <t>CONTRATO  DE LOCAÇÃO DE EQUIPAMENTOS Nº DH-MEGA19</t>
  </si>
  <si>
    <t>FORRAGEIRA AUTOPROPELIDA PARA SILAGEM COM POTÊNCIA DE 408CV/300 KW , CILINDRADA 11.900 CM3, MARCA DEUTZFAHR,
MODELO GIGANT 400, NÚMERO DE SÉRIE 65-05-000117, USADA - ANO DE FABRICAÇÃO 1997.</t>
  </si>
  <si>
    <t>I-10/1287-MEG</t>
  </si>
  <si>
    <t>DIETHELM WS 102</t>
  </si>
  <si>
    <t>DH-MEGA7</t>
  </si>
  <si>
    <t>COLHEITADEIRA AUTOPROPELIDA PARA CEREAIS E FORRAGENS, USADA, MARCA: DEUTZ-FAHR
MODELO: GIGANT 400, N" DE SÉRIE: 65-05-000146, FABRICADA EM 1998.</t>
  </si>
  <si>
    <t>EADI SANTO ANDRÉ</t>
  </si>
  <si>
    <t>10314.002198/2011-47</t>
  </si>
  <si>
    <t>03/04/2023 - Despacho Decisorio
29/03/2023 - Juntada efetuada no E-CAC
07/03/2023 - Documentação recebida
02/03/2023 - Informado que sera prorrogado por 52 meses, ag documentos, numerario revisado enviado
10/02/2023 - Informado que será prorrogado por 40 meses, numerario enviado, ag retorno
08/02/2023 - Cobrado procedimento a ser adotado
15/03/2021 - Despacho
10/03/2021 - Juntada feita pelo E-CAC
17/02/2021 - Solicitado prorrogação por mais 24 meses, enviado Numerario, ag docs
08/02/2021 - Cobrado procedimento a ser adotado
08/08/2019 - Nova Concessão de Adm. Temporária_Venc. 08/04/2021.
06/06/2019 - Processo de admissão temporaria em andamento.
01/04/2019 - recebido copia da documentação para uma nova admissão temporaria.
18/01/2019 - COMUNICADO - CIÊNCIA ELETRÔNICA POR DECURSO DE PRAZO.
27/12/2018 - Processo deferido. Venc 14/05/2019 - PROCESSO JÁ ATINGIU OS 100 MESES.
26/12/2018- 6ª Prorrogação enviada para o faturamento
21/12/2018 - Juntada Aceita.
20/12/2018 - Enviado pelo e-CAC o pedido de prorrogação.
17/12/2018 - Recebido o 6º aditivo e contrato de prestação original.
29/11/2018 - Enviada solicitação de numerario, aguardando documentação para prosseguir com a prorrogação por 4 meses.
23/11/2018 - Informado que pode ser prorrogado por 4 meses, aguardando documentação para prosseguir com a pororrogação.
22/11/2018 - Cobrado qual procedimento será adotado.
14/11/2018 - Cobrado qual procedimento será adotado.
26/12/2017 - Deferido pedido de Prorrogação - Venc.14/01/2019                                                     22/12/2017 - Recebido Aceite da Juntada - Ag. Analise da RFB
22/12/2017 - Protocolado Pedido de Prorrogação - Ag. Aceite da Juntada
25/02/16 - Recebido protocolo do pleito e deferimento
22/01 - Protocolado pedido de prorrogação
02/09 - Despacho decisório recebido
22/01/2014 - Protocolado pedido de prorrogação, aguardando analise / deferimento do pedido;
04/02- Despacho decisório recebido
23/01/2014 - Protocolado pedido de prorrogação, aguardando analise / deferimento do pedido;
13/02 - Deferido pedido de prorrogação;
19/01 - Protocolado pedido de prorrogação, aguardando analise / deferimento do pedido;
18/01 - Enviado pedido prorrogação ao EADI Santo André (Trovão);
12/01 - Recebemos aditivo contratual, providenciando envio do pedido de prorrogação à Inspetoria;
05/01 - Confirmada a remessa de numerario, providenciando pagamento dos DARF's;
27/12 - Enviada solicitação de numerario;
15/11 - Confirmada prorrogação por 12 meses, providenciando calculo do processo;
04/11 - Questionado a MEGASIL quanto ao procedimento a ser adotado para o processo;
05/04/2011 - Prazo correto Concedido pela RFB  até 13/02/2012
15/03/2011 - Prazo da Admissão concedido pela RFB  menor que o do Contrato  , estamos verificando como reverter junto a RFB de Santo Andre 
09/02/2011 - DI registrada, aguardando desembaraço</t>
  </si>
  <si>
    <t>I-10/1199-MEG</t>
  </si>
  <si>
    <t>DIETHELM WS 101</t>
  </si>
  <si>
    <t>DH-MEGA6</t>
  </si>
  <si>
    <t>COLHEITADEIRA AUTOPROPELIDA PARA CEREAIS E FORRAGENS, USADA, MARCA: DEUTZ-FAHR MODELO: GIGANT 400, N" DE SÉRIE: 65-05-000074, FABRICADA EM 1996.</t>
  </si>
  <si>
    <t>10314.002197/2011-01</t>
  </si>
  <si>
    <t xml:space="preserve">25/04/2023 - Despacho Decisorio
14/04/2023 - Resposta a intimação
11/04/2023 - Intimação
28/03/2023 - Juntada efetuada pelo E-CAC
07/03/2023 - Recebido documentos
02/03/2023 - Informado que sera prorrogado por 52 meses, ag documentos, numerario revisado enviado
10/02/2023 - Informado que será prorrogado por 40 meses, numerario enviado, ag retorno
08/02/2023 - Cobrado procedimento a ser adotado
15/03/2021 - Despacho Decisorio
10/03/2021 - Juntada efetuada no E-CAC
17/02/2021 - Solicitado prorrogação por mais 24 meses, enviado Numerario, ag docs
08/02/2021 - Cobrado Procedimento a ser adotado
08/08/2019 - Nova Concessão de Adm. Temporária_Venc. 08/04/2021.
06/06/2019 - Processo de admissão temporaria em andamento.
01/04/2019 - recebido copia da documentação para uma nova admissão temporaria.
27/12/2018 - Processo deferido. Venc 14/05/2019. PROCESSO JÁ ATINGIU OS 100 MESES.
26/12/2018- 6ª Prorrogação enviada para o faturamento
20/12/2018 - Juntada aceita.
20/12/2018 - Enviado pelo e-CAC o pedido de prorrogação.
17/12/2018 - Recebido o 6º aditivo e contrato de prestação original.
29/11/2018 - Enviada solicitação de numerario, aguardando documentação para prosseguir com a prorrogação por 4 meses.
23/11/2018 - Informado que pode ser prorrogado por 4 meses, aguardando documentação para prosseguir com a pororrogação.
22/11/2018 - Cobrado qual procedimento será adotado.
14/11/2018 - Cobrado qual procedimento será adotado. Recebido os modelos de contrato.
26/12/2017 - Deferido pedido de Prorrogação - Venc.14/01/2019                                                   22/12/2017 - Recebido Aceite da Juntada - Ag. Analise da RFB
22/12/2017 - Protocolado Pedido de Prorrogação - Ag. Aceite da Juntada
25/02/16 - Despacho decisório recebido
11/02/2016 - Recebido descho decisório de deferimento pleito prorrogação
12/01/2016 - Protocolado pedido de prorrogação
11/09 - Despacho decisório recebido
05/02/2014 - Protocolado pedido de prorrogação, aguardando analise / deferimento do pedido;
13/02 - Deferido pedido de prorrogação;
19/01 - Protocolado pedido de prorrogação, aguardando analise / deferimento do pedido;
18/01 - Enviado pedido prorrogação ao EADI Santo André (Trovão);
12/01 - Recebemos aditivo contratual, providenciando envio do pedido de prorrogação à Inspetoria;
05/01 - Confirmada a remessa de numerario, providenciando pagamento dos DARF's;
27/12 - Enviada solicitação de numerario;
15/11 - Confirmada prorrogação por 12 meses, providenciando calculo do processo;
04/11 - Questionado a MEGASIL quanto ao procedimento a ser adotado para o processo;
05/04/2011 - Prazo correto Concedido pela RFB  até 13/02/2012
15/03/2011 - Prazo da Admissão concedido pela RFB  menor que o do Contrato  , estamos verificando como reverter junto a RFB de Santo Andre 
09/02/2011 - DI registrada, aguardando desembaraço
</t>
  </si>
  <si>
    <t>I-19/1042-MEG</t>
  </si>
  <si>
    <t>PFWS19-2</t>
  </si>
  <si>
    <t>CONTRATO ALUGUEL DH-MEGA16</t>
  </si>
  <si>
    <t>10010.079669/0919-44</t>
  </si>
  <si>
    <t>28/11/2023 - Despacho Decisorio
14/11/2023 - Juntada efetuada
03/10/2023 - Docs recebidos
02/10/2023 - Enviado Nunerario e RPR, ag retorno
29/09/2023 - Cobrado procedimento a ser adotado, informado que será prorrogado por mais 48 meses
13/08/2021 - Despacho de Encaminhamento
25/11/2019 - Despacho de Encaminhamento
12/11/2019 - Processo incluido no controle</t>
  </si>
  <si>
    <t>I-23/1812-MEG</t>
  </si>
  <si>
    <t>ADM</t>
  </si>
  <si>
    <t>CONTRATO DE LOCAÇÃO Nº DH-MEGA23</t>
  </si>
  <si>
    <t>25/03/2024 - Processo incluído no controle</t>
  </si>
  <si>
    <t>I-23/1653-MEG</t>
  </si>
  <si>
    <t>WS23-1</t>
  </si>
  <si>
    <t>CONTRATO DE LOCAÇÃO Nº DH-MEGA21-22</t>
  </si>
  <si>
    <t>I-24/0785-MEG</t>
  </si>
  <si>
    <t>WS24-1</t>
  </si>
  <si>
    <t>CONTRATO DE LOCAÇÃO Nº DH-MEGA24</t>
  </si>
  <si>
    <t>URF - CODIGO</t>
  </si>
  <si>
    <t>URF- NOME</t>
  </si>
  <si>
    <t>RA - CODIGO</t>
  </si>
  <si>
    <t>RA- NOME</t>
  </si>
  <si>
    <t>0817600</t>
  </si>
  <si>
    <t>EADI-LACHMANN TERMINAIS LTDA.-SAO BERNARDO DO CAMPO/SP</t>
  </si>
  <si>
    <t>0317900</t>
  </si>
  <si>
    <t>ALF - FORTALEZA</t>
  </si>
  <si>
    <t>PORTO DE FORTALEZA - CIA. DOCAS DO CEARA - PORTO MARIT. ALF.</t>
  </si>
  <si>
    <t>0717600</t>
  </si>
  <si>
    <t>PORTO DO RIO DE JANEIRO</t>
  </si>
  <si>
    <t>PÁTIO DO PORTO DO RIO DE JANEIRO</t>
  </si>
  <si>
    <t>0227600</t>
  </si>
  <si>
    <t>PORTO DE MANAUS</t>
  </si>
  <si>
    <t>INST.POR.FLUV.ALF-USO PRIVATIVO-CHIBATAO NAV. COM-MANAUS/AM</t>
  </si>
  <si>
    <t>0417902</t>
  </si>
  <si>
    <t>INST.PORT.USO PUBL.-ATLâNTICO TERMINAIS S. A.</t>
  </si>
  <si>
    <t>0517800</t>
  </si>
  <si>
    <t>ALF - SALVADOR</t>
  </si>
  <si>
    <t>PORTO DE SALVADOR - CODEBA - PORTO MARIT.ALF.-USO PúBLICO</t>
  </si>
  <si>
    <t>ICTSI RIO BRASIL TERMINAL 1 SA</t>
  </si>
  <si>
    <t>0917800</t>
  </si>
  <si>
    <t>PORTO DE PARANAGUA</t>
  </si>
  <si>
    <t>0710400</t>
  </si>
  <si>
    <t>CAMPOS DOS GOYTACAZES</t>
  </si>
  <si>
    <t>TMULT - PORTO DO AÇÚ OPERAÇÕES S.A.</t>
  </si>
  <si>
    <t>INST.PORT.USO PúBLICO - INTERMARíTIMA TERMINAIS LTDA.</t>
  </si>
  <si>
    <t>0817900</t>
  </si>
  <si>
    <t>SÃO PAULO</t>
  </si>
  <si>
    <t>EADI-EMBRAGEM-AV.MACKENZIE,137,JAGUARE-SÃO PAULO/SP</t>
  </si>
  <si>
    <t>0811000</t>
  </si>
  <si>
    <t>SOROCABA</t>
  </si>
  <si>
    <t>EADI - AURORA TERMINAIS E SERVIÇOS LTDA.-SOROCABA/SP</t>
  </si>
  <si>
    <t>AURORA TERMINAIS E SERVIÇOS LTDA.</t>
  </si>
  <si>
    <t>AEROPORTO INTERNACIONAL DE SÃO PAULO/GUARULHOS</t>
  </si>
  <si>
    <t>CONCESSIONÁRIA DO AEROPORTO INTERNACIONAL DE GUARULHOS S/A</t>
  </si>
  <si>
    <t>0710251</t>
  </si>
  <si>
    <t>IRF CAMPOS DOS GOYTACAZES</t>
  </si>
  <si>
    <t>0317903</t>
  </si>
  <si>
    <t>IRF SÃO LUIS</t>
  </si>
  <si>
    <t>0817800</t>
  </si>
  <si>
    <t>PORTO DE SANTOS</t>
  </si>
  <si>
    <t>BRASIL TERMINAL PORTUÁRIO S/A</t>
  </si>
  <si>
    <t>0815500</t>
  </si>
  <si>
    <t>EADI SANTO ANDRE TERMINAL DE CARGAS LTDA.</t>
  </si>
  <si>
    <t>APOLICE REFERENCIA</t>
  </si>
  <si>
    <t>Nº APOLICE</t>
  </si>
  <si>
    <t>02-0775-0772771</t>
  </si>
  <si>
    <t>02-0775-0995466</t>
  </si>
  <si>
    <t>VENCIMENTO</t>
  </si>
  <si>
    <t>02-0775-0641096</t>
  </si>
  <si>
    <t>02-0775-0929867</t>
  </si>
  <si>
    <t>02-0775-0614356</t>
  </si>
  <si>
    <t>02-0775-0929900</t>
  </si>
  <si>
    <t>02-0775-0895162</t>
  </si>
  <si>
    <t>02-0775-0990491</t>
  </si>
  <si>
    <t>02-0775-0824312</t>
  </si>
  <si>
    <t>02-0775-0971950</t>
  </si>
  <si>
    <t>02-0775-0925644</t>
  </si>
  <si>
    <t>0775.22.1.817-7</t>
  </si>
  <si>
    <t>02-0775-0929954</t>
  </si>
  <si>
    <t>02-0775-0931811</t>
  </si>
  <si>
    <t>02-0775-0929956</t>
  </si>
  <si>
    <t>0775.22.1.816-9</t>
  </si>
  <si>
    <t>02-0775-0768790</t>
  </si>
  <si>
    <t>02-0775-0917395</t>
  </si>
  <si>
    <t>02-0775-0768800</t>
  </si>
  <si>
    <t>02-0775-0917390</t>
  </si>
  <si>
    <t>02-0775-0768810</t>
  </si>
  <si>
    <t>02-0775-0919034</t>
  </si>
  <si>
    <t>02-0775-0768838</t>
  </si>
  <si>
    <t>02-0775-0920542</t>
  </si>
  <si>
    <t>02-0775-0789715</t>
  </si>
  <si>
    <t>02-0775-0916249</t>
  </si>
  <si>
    <t>02-0775-0803986</t>
  </si>
  <si>
    <t>02-0775-0948641</t>
  </si>
  <si>
    <t>0306920239907750984452000</t>
  </si>
  <si>
    <t>0306920239907751014466000</t>
  </si>
  <si>
    <t>0306920239907751029642000</t>
  </si>
  <si>
    <t>Tipo</t>
  </si>
  <si>
    <t>Data Assinatura</t>
  </si>
  <si>
    <t>Vencimento</t>
  </si>
  <si>
    <t>3º Aditivo ao Contrato de Locaçao</t>
  </si>
  <si>
    <t>Aluguel</t>
  </si>
  <si>
    <t>3º Aditivo ao Contrato de Comodato</t>
  </si>
  <si>
    <t>Comodato</t>
  </si>
  <si>
    <t>4º Aditivo ao Contrato de Locaçao</t>
  </si>
  <si>
    <t>Nº Contrato (último)</t>
  </si>
  <si>
    <t>9º Aditivo ao Contrato de Locaçao</t>
  </si>
  <si>
    <t>Relatório Técnico de Envio de motor em Garantia para Collin</t>
  </si>
  <si>
    <t>Reparo</t>
  </si>
  <si>
    <t>Primeiro Aditamento de Contrato nº 01 de Afretamento de Draga a Casco Nu</t>
  </si>
  <si>
    <t>Afretamento</t>
  </si>
  <si>
    <t>UPDATE COM SOMA DE DIAS</t>
  </si>
  <si>
    <t>5º Termo Aditivo ao Contrato Nº BPCRC-014-2022-PRD</t>
  </si>
  <si>
    <t>PRORROGAÇAO</t>
  </si>
  <si>
    <t>5º Aditivo ao Contrato de Locaçao</t>
  </si>
  <si>
    <t>8º Aditivo ao Contrato de Locaçao</t>
  </si>
  <si>
    <t>18º Aditivo ao Contrato de Locaçao</t>
  </si>
  <si>
    <t>14º Aditivo ao Contrato de Locaçao</t>
  </si>
  <si>
    <t>15º Aditivo ao Contrato de Locaçao</t>
  </si>
  <si>
    <t>Laudo de identificaçao de Mercadorias para Exportaçao Temporária</t>
  </si>
  <si>
    <t>12º Aditivo ao Contrato de Locaçao</t>
  </si>
  <si>
    <t>Instrumento Particular de Contrato de Comodato</t>
  </si>
  <si>
    <t>4º Aditivo ao Contrato de Comodato</t>
  </si>
  <si>
    <t>8º Aditivo ao Contrato de Comodato</t>
  </si>
  <si>
    <t>6º Aditivo ao Contrato de Locaçao</t>
  </si>
  <si>
    <t>Contrato de Fretamento por Período Embarcações de Apoio Marítimo</t>
  </si>
  <si>
    <t>Instrumento Particular de Contrato de Locaçao de Equipamentos nº DH-MEGA21-22</t>
  </si>
  <si>
    <t>Primeiro Aditivo Contratual</t>
  </si>
  <si>
    <t>Lease Agreement (Bare Rental) Addedum 2023099-1</t>
  </si>
  <si>
    <t>Instrumento Particular de Contrato de Locaçao de Equipamentos nº DH-MEGA18</t>
  </si>
  <si>
    <t>1º Termo Aditivo ao Instrumento Particular de Contrato de Locaçao de Equipamentos nº DH-MEGA15</t>
  </si>
  <si>
    <t>Lease Agreement (Bare Rental) Addedum 2022208</t>
  </si>
  <si>
    <t>Emprestimo</t>
  </si>
  <si>
    <t>Contrato de Emprestimo Agency Agreement</t>
  </si>
  <si>
    <t>Instrumento Particular de Contrato de Locaçao de Equipamentos nº DH-MEGA20</t>
  </si>
  <si>
    <t>Instrumento Particular de Contrato de Locaçao de Equipamentos nº DH-MEGA19</t>
  </si>
  <si>
    <t>2º Termo Aditivo ao Instrumento Particular de Contrato de Locaçao de Equipamentos nº DH-MEGA6-19</t>
  </si>
  <si>
    <t>2º Termo Aditivo ao Instrumento Particular de Contrato de Locaçao de Equipamentos nº DH-MEGA7-19</t>
  </si>
  <si>
    <t>2º Termo Aditivo ao Instrumento Particular de Contrato de Locaçao de Equipamentos nº DH-MEGA16</t>
  </si>
  <si>
    <t>Instrumento Particular de Contrato de Locaçao de Equipamentos nº DH-MEGA23</t>
  </si>
  <si>
    <t>Instrumento Particular de Contrato de Locaçao de Equipamentos nº DH-MEGA24</t>
  </si>
  <si>
    <t>Contrato de Afretamento por Tempo para Embarcações de Apoio Offshore</t>
  </si>
  <si>
    <t>Instrumento Particular de Contrato de Locaçao de Equipamentos nº DH-MEGA17</t>
  </si>
  <si>
    <t>STATUS</t>
  </si>
  <si>
    <t>NUMERO</t>
  </si>
  <si>
    <t>Porto De Fortaleza - Cia. Docas do Ceara - Porto Maritimo ALF.</t>
  </si>
  <si>
    <t>Fortaleza</t>
  </si>
  <si>
    <t>Ceará</t>
  </si>
  <si>
    <t>Aurora Terminais e Serviços Ltda.</t>
  </si>
  <si>
    <t>São Luís</t>
  </si>
  <si>
    <t>Maranhão</t>
  </si>
  <si>
    <t>Inst. Port. Uso Publ. - Suata Serv. Log. Ltda.</t>
  </si>
  <si>
    <t>Ipojuca</t>
  </si>
  <si>
    <t>Pernambuco</t>
  </si>
  <si>
    <t>Inst. Port. Uso Publ. - Atlântico Terminais S. A.</t>
  </si>
  <si>
    <t>Porto De Suape</t>
  </si>
  <si>
    <t>Porto de Salvador - Codeba - Porto Marit. Alf. - Uso Publico</t>
  </si>
  <si>
    <t>Salvador</t>
  </si>
  <si>
    <t>Bahia</t>
  </si>
  <si>
    <t>Inst. Port. Uso Público - Intermarítima Terminais Ltda.</t>
  </si>
  <si>
    <t>Tmult - Porto do Açú Operações S.A.</t>
  </si>
  <si>
    <t>Campos dos Goytacazes</t>
  </si>
  <si>
    <t>Rio de Janeiro</t>
  </si>
  <si>
    <t>Pátio do Porto Do Rio De Janeiro</t>
  </si>
  <si>
    <t>Rio De Janeiro</t>
  </si>
  <si>
    <t>ICTSI Rio Brasil Terminal 1 S.A.</t>
  </si>
  <si>
    <t>Inst. Port. Mar. Alf. Uso Publ. Cons. Mult Rio-T.II - Porto Rj</t>
  </si>
  <si>
    <t>EADI - Aurora Terminais E Serviços Ltda.</t>
  </si>
  <si>
    <t>Sorocaba</t>
  </si>
  <si>
    <t>São Paulo</t>
  </si>
  <si>
    <t>Concessionária do Aeroporto Internacional de Guarulhos S.A.</t>
  </si>
  <si>
    <t>Guarulhos</t>
  </si>
  <si>
    <t>Brasil Terminal Portuário S.A.</t>
  </si>
  <si>
    <t>Santos</t>
  </si>
  <si>
    <t>EADI - Embragem - Av.Mackenzie, 137, Jaguare</t>
  </si>
  <si>
    <t>EADI Santo Andre Terminal de Cargas Ltda.</t>
  </si>
  <si>
    <t>TCP - Terminal De Conteineres De Paranagua S/A</t>
  </si>
  <si>
    <t>Paranaguá</t>
  </si>
  <si>
    <t>Paraná</t>
  </si>
  <si>
    <t>Inst.Por.Fluv.Alf-Uso Privativo-Chibatao Nav. Com-Manaus/Am</t>
  </si>
  <si>
    <t>Porto De Manaus</t>
  </si>
  <si>
    <t>Eadi-Lachmann Terminais Ltda.-Sao Bernardo Do Campo/Sp</t>
  </si>
  <si>
    <t>NumeroInscricao</t>
  </si>
  <si>
    <t>NomeEmpresarial</t>
  </si>
  <si>
    <t>Logradouro</t>
  </si>
  <si>
    <t>NumeroLogradouro</t>
  </si>
  <si>
    <t>Bairro</t>
  </si>
  <si>
    <t>Cidade</t>
  </si>
  <si>
    <t>Estado</t>
  </si>
  <si>
    <t>MEGASIL COMERCIO DE PRODUTOS AGRICOLAS E SERVICOS DE COLHEITAS LTDA</t>
  </si>
  <si>
    <t>RUA DOM JOSE CARLOS AGUIRRE</t>
  </si>
  <si>
    <t>VILA OZORIO</t>
  </si>
  <si>
    <t>DTA ENGENHARIA LTDA</t>
  </si>
  <si>
    <t>RUA JERONIMO DA VEIGA</t>
  </si>
  <si>
    <t>JARDIM EUROPA</t>
  </si>
  <si>
    <t>BOWLINE MARINE &amp; CARGO CONSULTANTS LTDA</t>
  </si>
  <si>
    <t>RUA XV DE NOVEMBRO</t>
  </si>
  <si>
    <t>CENTRO</t>
  </si>
  <si>
    <t>SANTOS</t>
  </si>
  <si>
    <t>NEA - COMERCIAL DE PRODUTOS INDUSTRIAIS LTDA</t>
  </si>
  <si>
    <t>PAINEIRAS</t>
  </si>
  <si>
    <t>ITUPEVA</t>
  </si>
  <si>
    <t>MAMMOET BRASIL GUINDASTES LTDA.</t>
  </si>
  <si>
    <t>JARDIM PEIR PERI</t>
  </si>
  <si>
    <t>AV PRESIDENTE WILSON</t>
  </si>
  <si>
    <t>RUA CARLOS LISDEGNO CARLUCCI</t>
  </si>
  <si>
    <t>RUA LINO PEIXOTO AMORIM</t>
  </si>
  <si>
    <t>RIO DE JANEIRO</t>
  </si>
  <si>
    <t>ESTRADA DE ACESSO A BR 135</t>
  </si>
  <si>
    <t>NULL</t>
  </si>
  <si>
    <t>ZONA INDUSTRIAL</t>
  </si>
  <si>
    <t>SANTO ANTONIO DOS LOPES</t>
  </si>
  <si>
    <t>MARANHÃO</t>
  </si>
  <si>
    <t>MITSUBISHI POWER SOUTH AMERICA LIMITADA</t>
  </si>
  <si>
    <t>ALAMEDA SANTO</t>
  </si>
  <si>
    <t>CERQUEIRA CESAR</t>
  </si>
  <si>
    <t>MARLIM AZUL ENERGIA S.A.</t>
  </si>
  <si>
    <t>RUA DOS GARÇONS</t>
  </si>
  <si>
    <t>HORTO</t>
  </si>
  <si>
    <t>MACAÉ</t>
  </si>
  <si>
    <t>TRANSDATA ENGENHARIA E MOVIMENTACAO LTDA</t>
  </si>
  <si>
    <t>AVENIDA RIO BRANCO</t>
  </si>
  <si>
    <t>VEOLIA WATER TECHNOLOGIES AND SOLUTIONS BRASIL TRATAMENTO DE AGUAS LTDA</t>
  </si>
  <si>
    <t>RUA OSASCO</t>
  </si>
  <si>
    <t>PARQUE INDUSTRIAL ANHANGUERA</t>
  </si>
  <si>
    <t>CAJAMAR</t>
  </si>
  <si>
    <t>KARINA PLASTICOS LTDA</t>
  </si>
  <si>
    <t>AVENIDA ANTRANIG GUEREKMEZIAN</t>
  </si>
  <si>
    <t>JARDIM CUMBICA</t>
  </si>
  <si>
    <t>GUARULHOS</t>
  </si>
  <si>
    <t>NumeroDI</t>
  </si>
  <si>
    <t>CNPJID</t>
  </si>
  <si>
    <t>RefBraslog</t>
  </si>
  <si>
    <t>RefCliente</t>
  </si>
  <si>
    <t>DataDI</t>
  </si>
  <si>
    <t>DataCI</t>
  </si>
  <si>
    <t>CEID</t>
  </si>
  <si>
    <t>RecintoID</t>
  </si>
  <si>
    <t>E-CAC</t>
  </si>
  <si>
    <t>ContratoID</t>
  </si>
  <si>
    <t>ApoliceID</t>
  </si>
  <si>
    <t>Modal</t>
  </si>
  <si>
    <t xml:space="preserve"> </t>
  </si>
  <si>
    <t>MARÍTIMO</t>
  </si>
  <si>
    <t>MEIOS PRÓPRIOS</t>
  </si>
  <si>
    <t>AÉREO</t>
  </si>
  <si>
    <t>MODAL</t>
  </si>
  <si>
    <t>MEIOS PROPRIOS</t>
  </si>
  <si>
    <t>ITARARÉ</t>
  </si>
  <si>
    <t>MANAUS</t>
  </si>
  <si>
    <t>FORTALEZA</t>
  </si>
  <si>
    <t>SÃO LUIS</t>
  </si>
  <si>
    <t>SUAPE</t>
  </si>
  <si>
    <t>SALVADOR</t>
  </si>
  <si>
    <t>PARANAGUA</t>
  </si>
  <si>
    <t>iDeclaracaoID</t>
  </si>
  <si>
    <t>cNumeroDeclaracao</t>
  </si>
  <si>
    <t>iCNPJID</t>
  </si>
  <si>
    <t>cReferenciaBraslog</t>
  </si>
  <si>
    <t>cReferenciaCliente</t>
  </si>
  <si>
    <t>dDataRegistroDeclaracao</t>
  </si>
  <si>
    <t>dDataDesembaracoDeclaracao</t>
  </si>
  <si>
    <t>iCEID</t>
  </si>
  <si>
    <t>iRecintoID</t>
  </si>
  <si>
    <t>cNumeroDOSSIE</t>
  </si>
  <si>
    <t>cNumeroProcessoAdministrativo</t>
  </si>
  <si>
    <t>iContratoID</t>
  </si>
  <si>
    <t>iApoliceID</t>
  </si>
  <si>
    <t>cModal</t>
  </si>
  <si>
    <t>cDescricao</t>
  </si>
  <si>
    <t>cHistorico</t>
  </si>
  <si>
    <t>2213721580</t>
  </si>
  <si>
    <t>202200158843967</t>
  </si>
  <si>
    <t>DISTRIBUIDOR DE CARGA METALICO, FABRICANTE MAMMOET LIFTING AND TRANSPORT SAS, MODELO: HEB300- S235, ANO DE FABRICACAO: 2020, USADO,NUMERO DE EQUIPAMENTO: 200812-001; 200812-002; 200812-003; 200812-004; 200812-005; 200812-006; 200812-009; 200812-010.</t>
  </si>
  <si>
    <t>29/11/2024 - Reexportado através dos processos E-24/0382-MBG e E-24/0384-MBG_x000D_
30/09/2024 - Cobrado procedimento a ser adotado_x000D_
27/06/2024 - Juntada efetuada_x000D_
27/06/2024 - Docs recebidos_x000D_
17/06/2024 - Nuerario enviado, ag retorno_x000D_
13/06/2024 - Prorrogação por mais 5 meses_x000D_
03/06/2024 - Cobrado novamente_x000D_
30/04/2024 - Cobrado procedimento a ser adotado_x000D_
27/12/2023 - Juntada efetuada._x000D_
01/12/2023 - Enviado Numerario e RPR, ag retorno_x000D_
22/11/2023 - Solicitado prorrogação por mais 6 meses_x000D_
30/10/2023 - Cobrado procedimento a ser adotado_x000D_
27/06/2023 - Juntada efetuada pelo DOSSIE_x000D_
21/06/2023 - Documentação recebida_x000D_
01/06/2023 - Cobrado novamente_x000D_
03/05/2023 - Cobrado procedimento a ser adotado_x000D_
22/09/2022 - Processo incluido no controle</t>
  </si>
  <si>
    <t>2406902926</t>
  </si>
  <si>
    <t>202400232144540</t>
  </si>
  <si>
    <t>29/11/2024 - Reexportado através dos processos E-24/0418-MBG_x000D_
27/11/2024 - Cobrado novamente_x000D_
01/11/2024 - Cobrado procedimento a ser adotado_x000D_
29/10/2024 - Juntada efetuada_x000D_
28/10/2024 - Docs recebidos_x000D_
22/10/2024 - Numerario enviado, ag retorno_x000D_
21/10/2024 - Solciitado prorrogaçao por mais 1 mes_x000D_
14/10/2024 - Cobrado novamente_x000D_
09/09/2024 - Cobrado procedimento a ser adotado_x000D_
03/07/2024 - Juntada efetuada_x000D_
02/07/2024 - Docs recebidos_x000D_
25/06/2024 - Solicitado prorrogação por mais 4 meses, numerario enviado, ag retorno_x000D_
10/06/2024 - Cobrado procedimento a ser adotado_x000D_
03/06/2024 - Juntada efetuada_x000D_
29/05/2024 - Docs recebidos_x000D_
27/05/2024 - Enviado Numerario e RPR, ag retorno_x000D_
21/05/2024 - Solicitado prorrogação por mais 1 mes_x000D_
07/05/2024 - Cobrado procedimento a ser adotado_x000D_
30/04/2024 - Processo incluído no controle</t>
  </si>
  <si>
    <t>2215388101</t>
  </si>
  <si>
    <t>202200161707530</t>
  </si>
  <si>
    <t>DISTRIBUIDOR DE CARGA METALICO 3XHEB 500 LG, FABRICANTE SERVICIOS DE ELEVACION Y TRANSPORTE- MAMMOET CHILE Y CIA LTDA, MODELO:15104519-ENGDWG-F001-0, ANO DE FABRICACAO: 2022, USADO, NÚMERO DE EQUIPAMENTO: NA.</t>
  </si>
  <si>
    <t>29/11/2024 - Reexportado através do processo E-24/0406-MBG_x000D_
27/11/2024 - Cobrado novamente_x000D_
01/11/2024 - Cobrado procedimento a ser adotado_x000D_
29/10/2024 - Juntada efetuada_x000D_
28/10/2024 - Docs recebidos_x000D_
22/10/2024 - Numerario enviado, ag retorno_x000D_
21/10/2024 - Solciitado prorrogaçao por mais 1 mes_x000D_
14/10/2024 - Cobrado novamente_x000D_
30/09/2024 - Cobrado procedimento a ser adotado_x000D_
13/06/2024 - Juntada efetuada_x000D_
11/06/2024 - Docs recebidos_x000D_
10/06/2024 - Numerario enviado, ag retorno_x000D_
04/06/2024 - Prorrogação por mais 5 meses_x000D_
03/06/2024 - Cobrado novamente_x000D_
15/04/2024 - Cobrado procedimento a ser adotado_x000D_
12/01/2024 - Juntada efetuada_x000D_
12/01/2024 - Docs recebidos_x000D_
04/01/2024 - Numerario e RPR enviados, agr retorno_x000D_
03/01/2024 - Solicitado prorrogação por mais 4 meses_x000D_
28/12/2023 - Cobrado novamente_x000D_
21/11/2023 - Cobrado procedimento a ser adotado_x000D_
10/07/2023 - Juntada efetuada através do DOSSIE_x000D_
28/06/2023 - Docs recebidos_x000D_
20/06/2023 - Numerario e TR enviado, ag retorno_x000D_
19/06/2023 - Informado que será prorrogado por 6 meses_x000D_
18/05/2023 - Cobrado procedimento a ser adotado_x000D_
22/09/2022 - Processo incluido no controle</t>
  </si>
  <si>
    <t>2211469948</t>
  </si>
  <si>
    <t>202200155225677</t>
  </si>
  <si>
    <t>GUINDASTE AUTOPROPELIDO SOBRE ESTEIRAS, NOVO, MARCA TEREX-DEMAG, MODELO CC 38.650-1, NÚMERO DE SÉRIE 36254, ANO DE FABRICAÇÃO 2022, NÚMERO DA FROTA 003380, COMPUTADORIZADO, ACIONADO POR MOTOR DIESEL, CAPACIDADE DE 650 TONELADAS, SUPERLIFT, CONTRAPESOS, COM TODOS ACESSÓRIOS PARA SEU FUNCIONAMENTO, DESMONTADO PARCIALMENTE PARA MANUSEIO E TRANSPORTE.</t>
  </si>
  <si>
    <t>29/11/2024 - Reexportado através dos processos E-24/0419-MBG_x000D_
25/11/2024 - Cobrado procedimento a ser adotado_x000D_
19/11/2024 - Juntada efetuada_x000D_
13/11/2024 - Docs recebidos_x000D_
11/11/2024 - Numerario enviado, ag retorno_x000D_
07/11/2024 - Solcicitado prorrogaçao por mais 1 mes_x000D_
30/09/2024 - Cobrado procedimento a ser adotado_x000D_
20/06/2024 - Juntada efetuada_x000D_
14/06/2024 - Docs recebidos_x000D_
04/06/2024 - Prorrogação por mais 5 meses, ag retorno_x000D_
03/06/2024 - Cobrado novamente_x000D_
30/04/2024 - Cobrado procedimento a ser adotado_x000D_
19/12/2023 - Juntada efetuada_x000D_
01/12/2023 - Enviado RPR, TR e Numerario, ag retorno_x000D_
22/11/2023 - Solicitado renovação por mais 6 meses_x000D_
26/10/2023 - Cobrado procedimento a ser adotado_x000D_
28/07/2022 - Processo incluido no controle</t>
  </si>
  <si>
    <t>2411169727</t>
  </si>
  <si>
    <t>202400238873528</t>
  </si>
  <si>
    <t>26/12/2024 - Reexportaçao através do processo E-24/0425-DTE_x000D_
01/11/2024 - Cobrado procedimento a ser adotado_x000D_
25/06/2024 - Processo incluído no controle</t>
  </si>
  <si>
    <t>2111602972</t>
  </si>
  <si>
    <t>202100109389832</t>
  </si>
  <si>
    <t>CAMINHÃO GUINDASTE SOBRE PNEU COM LANÇA TELESCÓPICA ATÉ 50 METROS, ADITIVO ESPECIAL CONECTADO JIB ATÉ 91 METROS, CAPACIDADE MÁXIMA DE ELEVAÇÃO 500 TONELADAS, COM 8 EIXOS TOTAIS SENDO 2 EIXOS FIXOS + 6 EIXOS DIRECIONÁVEIS, PARCIALMENTE DESMONTADO PARA TRANSPORTE E MANUSEIO, COM PEÇAS E ACESSÓRIOS PARA MONTAGEM E OPERAÇÃO. MARCA LIEBHERR, MODELO LTM1500-8.1, USADO, ANO DE FABRICAÇÃO 2017, NUMERO DE SÉRIE 095381.</t>
  </si>
  <si>
    <t>26/12/2024 - Cobrado procedimento a ser adotado_x000D_
20/12/2024 - Juntada efetuada_x000D_
19/12/2024 - Docs recebidos_x000D_
25/11/2024 - Cobrado procedimento a ser adotado_x000D_
21/11/2024 - Juntada efetuada_x000D_
19/11/2024 - Docs recebidos_x000D_
14/11/2024 - Numerario enviado, ag retorno_x000D_
12/11/2024 - Solicitado prorrogação por mais 1 mes_x000D_
30/09/2024 - Cobrado procedimento a ser adotado_x000D_
21/08/2024 - Juntada efetuada_x000D_
21/08/2024 - Docs recebidos_x000D_
07/08/2024 - Numerario enviado, ag numerario_x000D_
05/08/2024 - Solicitado prorrogação por mais 3 meses_x000D_
25/07/2024 - Cobrado novamente_x000D_
25/06/2024 - Cobrado procedimento a ser adotado_x000D_
21/06/2024 - Juntada efetuada_x000D_
19/06/2024 - Docs recebidos_x000D_
10/06/2024 - Enviado Numerario, ag retorno_x000D_
04/06/2024 -Solicitado prorrogação por mais 2 meses_x000D_
03/06/2024 - Cobrado novamente_x000D_
30/04/2024 - Cobrado procedimento a ser adotado_x000D_
19/04/2024 - Juntada efetuada_x000D_
12/04/2024 - Dcos recebidos_x000D_
05/04/2024 - Numerario e TR enviados_x000D_
04/04/2024 - Informado que será prorrogado por mais 2 meses_x000D_
22/03/2024 - Cobrado novamente_x000D_
23/02/2024 - Cobrado procedimento a ser adotado_x000D_
18/09/2023 - Juntada efetuada pelo DOSSIE_x000D_
04/09/2023 - Docs recebidos_x000D_
27/07/2023 - Cobrado procedimento a ser adotado_x000D_
21/07/2023 - Juntada da Apolice efetuada_x000D_
20/07/2023 - Juntada efetuada sem Apolice, através do DOSSIE_x000D_
18/07/2023 - Recebido docs, exceto Apolice_x000D_
27/06/2023 - Numerario, TR e RPR enviados, ag retorno_x000D_
21/06/2023 - Informado que será prorrogado por 2 meses_x000D_
01/06/2023 - Cobrado procedimento a ser adotado_x000D_
22/03/2023 - Recebido Apolice, juntado ao DOSSIE_x000D_
21/03/2023 - Juntada efetuada, ag Apolice_x000D_
21/03/2023 - Docs recebidos exceto Apolice._x000D_
01/02/2023 - Enviado Numerario, RPR e TR, aguardando retorno_x000D_
26/01/2023 - Informado que a prorrogação será até 08/2023_x000D_
24/01/2023 - Cobrado procedimento a ser adotado_x000D_
20/12/2022 - Juntada efetuada no DOSSIE_x000D_
19/12/2022 - Docs recebidos_x000D_
22/11/2022 - Cobrado novamente_x000D_
25/10/2022 - Cobrado procedimento a ser adotado_x000D_
25/06/2021 - Processo incluido no controle</t>
  </si>
  <si>
    <t>240010523748</t>
  </si>
  <si>
    <t>202400242169252</t>
  </si>
  <si>
    <t>26/12/2024 - Cobrado procedimento a ser adotado_x000D_
18/12/2024 - Juntada efetuada_x000D_
18/12/2024 - Docs recebidos_x000D_
27/11/2024 - Informado que será reimportado_x000D_
27/11/2024 - Cobrado novamente_x000D_
28/10/2024 - Cobrado procedimento a ser adotado_x000D_
23/10/2024 - Juntada efetuada_x000D_
23/10/2024 - Docs recebidos_x000D_
09/09/2024 - Cobrado procedimento a ser adotado_x000D_
11/07/2024 - Processo incluído no controle</t>
  </si>
  <si>
    <t>2102189170</t>
  </si>
  <si>
    <t>FORRAGEIRA + PLATAFORMA</t>
  </si>
  <si>
    <t>202100097363944</t>
  </si>
  <si>
    <t>26/12/2024 - Cobrado procedimento a ser adotado_x000D_
23/03/2021 - Processo incluido no controle</t>
  </si>
  <si>
    <t>2412607809</t>
  </si>
  <si>
    <t>202400241046459</t>
  </si>
  <si>
    <t>26/12/2024 - Cobrado procedimento a ser adotado_x000D_
14/10/2024 - Juntada efetuada_x000D_
14/10/2024 - Docs recebidos_x000D_
07/10/2024 - Solicitado prorrogaçao por mais 3 meses, numerario e RPR enviados, ag retorno_x000D_
14/08/2024 - Cobrado procedimento a ser adotado_x000D_
22/07/2024 - Processo incluído no controle</t>
  </si>
  <si>
    <t>240003252912</t>
  </si>
  <si>
    <t>202400227845285</t>
  </si>
  <si>
    <t>29/11/2024 - Juntada efetuada_x000D_
27/11/2024 - Docs recebidos_x000D_
27/11/2024 - Cobrado novamente_x000D_
18/10/2024 - Cobrado procedimento a ser adotado_x000D_
09/10/2024 - Juntada efetuada_x000D_
04/10/2024 - Docs recebidos_x000D_
14/08/2024 - Cobrado procedimento a ser adotado_x000D_
15/04/2024 - Processo incluído no controle</t>
  </si>
  <si>
    <t>240000198208</t>
  </si>
  <si>
    <t>202400222101024</t>
  </si>
  <si>
    <t>29/11/2024 - Juntada efetuada_x000D_
27/11/2024 - Cobrado novamente, docs recebidos_x000D_
18/10/2024 - Cobrado procedimento a ser adotado_x000D_
09/10/2024 - Juntada efetuada_x000D_
04/10/2024 - Docs recebidos_x000D_
14/08/2024 - Cobrado procedimento a ser adotado_x000D_
16/02/2024 - Processo incluido no controle</t>
  </si>
  <si>
    <t>2105759393</t>
  </si>
  <si>
    <t>202100103816828</t>
  </si>
  <si>
    <t>CONJUNTO DE TRILHA ESTREITA USADO PARA GUINDASTE TEREX DEMAG CC 2800 - 1 COM TODAS AS PEÇAS E ACESSÓRIOS PARA MONTAGEM E OPERAÇÃO, MARCA: TEREX DEMAG, MODELO: CC 2800-1, SEM NÚMERO DE SERIE, ANO DE FABRICAÇÃO 2006. UMA SEÇAO DE JIB/LANÇA DE 12 METROS USADA PARA GUINDASTE TEREX-DEMAG CC 2800-1 COM TODAS AS PEÇAS E ACESSÓRIOS PARA MONTAGEM E OPERAÇÃO, MARCA: TEREX DEMAG, MODELO: CC 2800-1, SEM NUMERO DE SÉRIE, ANO DE FABRICAÇÃO 2006.0</t>
  </si>
  <si>
    <t>26/12/2024 - Juntada efetuada_x000D_
23/12/2024 - Docs recebidos_x000D_
29/11/2024 - Numerario enviado, ag retorno_x000D_
28/11/2024 - Solicitado prorrogaçao por mais 3 mese_x000D_
27/11/2024 - Cobrado procedimento a ser adotado_x000D_
26/11/2024 - Juntada efetuada_x000D_
22/11/2024 - Docs recebidos_x000D_
14/11/2024 - Numerario enviado, ag retorno_x000D_
12/11/2024 - Solicitado prorrogaçao por mais 1 mes_x000D_
30/09/2024 - Cobrado procedimento a ser adotado_x000D_
26/06/2024 - Juntada efetuada_x000D_
26/06/2024 - Docs recebidos_x000D_
14/06/2024 - Enviado Numerario, ag retorno_x000D_
13/06/2024 - Solicitado prorrogação por mais 5 meses_x000D_
03/06/2024 - Cobrado novamente_x000D_
30/04/2024 - Cobrado procedimento a ser adotado_x000D_
26/04/2024 - Juntada efetuada_x000D_
19/04/2024 - Docs recebidos_x000D_
05/04/2024 - Numerario e RPR enviados, ag retorno_x000D_
04/04/2024 - Informado que será prorrogado por mais 2 meses_x000D_
28/02/2024 - Cobrado procedimento a ser adotado_x000D_
25/10/2023 - Juntada efetuada_x000D_
23/10/2023 - Docs recebidos_x000D_
06/10/2023 - RPR, TR e Numerario enviados, ag retorno_x000D_
03/10/2023 - Solicitado prorrogação por mais 6 meses_x000D_
30/08/2023 - Cobrado procedimento a ser adotado_x000D_
25/07/2023 - Juntada efetuada atraves do DOSSIE_x000D_
21/07/2023 - Docs recebidos_x000D_
27/06/2023 - Enviado Numerario, TR e RPR, ag retorno_x000D_
22/06/2023 - Solicitado renovação por 3 meses_x000D_
01/06/2023 - Cobrado procedimento a ser adotado_x000D_
23/03/2023 - Juntada efetuada através do DOSSIE_x000D_
20/03/2023 - Recebido documentação_x000D_
28/02/2023 - Cobrado novamente_x000D_
31/01/2023 - Cobrado procedimento a ser adotado_x000D_
25/03/2022 - Juntada anexada através do DOSSIE_x000D_
17/02/2022 - Solicitado prorrogação por 12 meses, TR, RAT e Numerário enviados, aguardando retorno_x000D_
27/01/2022 - Cobrado procedimento a ser adotado_x000D_
24/09/2021 - Recebido documentos, juntada efetuada pelo DOSSIE_x000D_
20/09/2021 - Cobrado novamente_x000D_
27/08/2021 - Cobrado novamente, solicitado prorrogação por 6 meses, TR e Numerario enviados, aguardando retorno_x000D_
27/07/2021 - Cobrado procedimento a ser adotado_x000D_
11/05/2021 - Processo incluído no controle</t>
  </si>
  <si>
    <t>2306782082</t>
  </si>
  <si>
    <t>202300188957138</t>
  </si>
  <si>
    <t>29/11/2024 - Juntada efetuada_x000D_
27/11/2024 - Docs recebidos_x000D_
25/11/2024 - Numerario enviado, ag retorno_x000D_
22/11/2024 - Solicitado prorrogaçao por mais 4 meses_x000D_
30/09/2024 - Cobrado procedimento a ser adotado_x000D_
30/08/2024 - Juntada efetuada_x000D_
29/08/2024 - Docs recebidos_x000D_
22/08/2024 - Numerario e RPR enviados, ag retorno_x000D_
21/08/2024 - Prorrogação por mais 3 meses_x000D_
14/08/2024 - Cobrado novamente_x000D_
02/07/2024 - Cobrado procedimento a ser adotado_x000D_
25/06/2024 - Juntada efetuada_x000D_
25/06/2024 - Docs recebidos_x000D_
17/06/2024 - Numerario enviado, ag retorno_x000D_
13/06/2024 - Prorrogaçao por mais 2 meses_x000D_
30/04/2024 - Cobrado procedimento a ser adotado_x000D_
28/03/2024 - Juntada efetuada_x000D_
27/03/2024 - Recebido docs_x000D_
13/03/2024 - Enviado Numerario e RPR, ag retorno_x000D_
12/03/2024 - Solicitado prorrogação por mais 3 meses_x000D_
01/02/2024 - Cobrado procedimento a ser adotado_x000D_
27/10/2023 - Juntada efetuada_x000D_
26/10/2023 - Docs recebidos_x000D_
06/10/2023 - RPR e Numerario enviados, ag retorno_x000D_
03/10/2023 - Solicitado prorrogação por mais 5 meses_x000D_
30/08/2023 - Cobrado procedimento a ser adotado_x000D_
11/07/2023 - Processo incluido no controle</t>
  </si>
  <si>
    <t>2308248563</t>
  </si>
  <si>
    <t>202300191329045</t>
  </si>
  <si>
    <t>VEÍCULO AUTOPROPELIDO PARA TRANSPORTE A DE GRANDES ESTRUTURAS EM CURTAS DISTÂNCIAS, COM 6 LINHAS DE EIXO, ANO DE FABRICAÇÃO 2016, USADO, COM CADA LINHA DE EIXO COMPOSTA POR 8 PNEUS (TOTAL DO CONJUNTO 48 PNEUS),COMPLETA, COM
		DISPOSITIVOS E FERRAMENTAS DE MONTAGEM E ACESSÓRIOS NECESSÁRIOS PARA OPERAÇÃO (PARCIALMENTE DESMONTADO PARA MANUSEIO E TRANSPORTE). NÚMERO DE SÉRIE WG0PST061G0061401 E FROTA 302919 E MARCA GOLDHOFER
		AKTIENGESELLSCHAFT, MODELO: PST/SL 6-12X08.</t>
  </si>
  <si>
    <t>29/11/2024 - Juntada efetuada_x000D_
28/11/2024 - Docs recebidos_x000D_
25/11/2024 - Numerario enviado, ag retorno_x000D_
22/11/2024 - Solicitado prorrogaçao por mais 4 meses_x000D_
07/10/2024 - Cobrado procedimento a ser adotado_x000D_
03/09/2024 - Juntada efetuada_x000D_
29/08/2024 - Docs recebidos_x000D_
22/08/2024 - Numerario e RPR enviados_x000D_
21/08/2024 - Solicitado prorrogaçao por mais 3 meses_x000D_
14/08/2024 - Cobrado novamente_x000D_
05/07/2024 - Cobrado procedimento a ser adotado_x000D_
24/06/2024 - Juntada efetuada_x000D_
17/06/2024 - Docs recebidos_x000D_
17/06/2024 - Numerario enviado, ag retorno_x000D_
13/06/2024 - Prorrogação por mais 2 meses_x000D_
10/06/2024 - Cobrado procedimento_x000D_
03/06/2024 - Juntada efetuada_x000D_
29/05/2024 - Docs recebidos_x000D_
24/05/2024 - RPR e Numerario enviados, ag retorno_x000D_
21/05/2024 - Solicitado prorrogação por mais 1 mes_x000D_
08/05/2024 - Cobrado novamente_x000D_
05/04/2024 - Cobrado procedimento a ser adotado_x000D_
04/12/2023 - Juntada efetuada, aguardando apolice._x000D_
10/11/2023 - Solicitado prorrogação por mais 6 meses, Numerario, TR e RPR enviados, ag retorno_x000D_
06/10/2023 - Cobrado procedimento a ser adotado_x000D_
12/06/2023 - Processo incluido no controle</t>
  </si>
  <si>
    <t>2221403214</t>
  </si>
  <si>
    <t>202200171178807</t>
  </si>
  <si>
    <t>CAMINHÃO GUINDASTE SOBRE PNEU COM LANÇA TELESCÓPICA ATÉ 60 METROS, ADITIVO ESPECIAL CONECTADO JIB ATÉ 88 METROS, CAPACIDADE MÁXIMA DE ELEVAÇÃO 220 TONELADAS, COM 5 EIXOS TOTAIS DIRECIONÁVEIS,PARCIALMENTE DESMONTADO PARA TRANSPORTE E MANUSEIO, COM PEÇAS E ACESSÓRIOS PARA MONTAGEM E OPERAÇÃO. MARCA LIEBHERR, MODELO LTM-1220 5.2, USADO, ANO DE FABRICAÇÃO 2012, NÚMERO DE SÉRIE 045767, CHASSIS NO.: W09585700DEL05385.</t>
  </si>
  <si>
    <t>10/12/2024 - Juntada efetuada_x000D_
03/12/2024 - Docs recebidos_x000D_
29/11/2024 - Numerario enviado, ag retorno_x000D_
27/11/2024 - Solicitado prorrogaçao por mais 4 meses_x000D_
27/11/2024 - Cobrado novamente_x000D_
11/11/2024 - Cobrado procedimento a ser adotado_x000D_
08/11/2024 - Juntada efetuada_x000D_
04/11/2024 - Docs recebidos_x000D_
22/10/2024 - Numerario enviado, ag retorno_x000D_
21/10/2024 - Solciitado prorrogaçao por mais 1 mes_x000D_
14/10/2024 - Cobrado novamente_x000D_
30/09/2024 - Cobrado procedimento a ser adotado_x000D_
13/06/2024 - Juntada efetuada_x000D_
11/06/2024 - Docs recebidos_x000D_
10/06/2024 - Numerario enviado, ag retorno_x000D_
04/06/2024 - Prorrogação por mais 5 meses_x000D_
03/06/2024 - Cobrado novamente_x000D_
15/04/2024 - Cobrado procedimento a ser adotado_x000D_
12/04/2024 - Juntada efetuada_x000D_
11/04/2024 - Docs recebidos_x000D_
03/04/2024 - Enviado Numerario e RPR_x000D_
01/04/2024 - Informado que será prorrogado por mais 2 meses_x000D_
22/03/2024 - Cobrado novamente_x000D_
14/02/2024 - Cobrado procedimento a ser adotado_x000D_
03/11/2023 - Juntada da Apolice efetuada_x000D_
26/10/2023 - Apolice atualizada recebida_x000D_
11/10/2023 - Juntada efetuada_x000D_
06/10/2023 - Recebido docs exceto Apolice atualizada_x000D_
21/08/2023 - Cobrado procedimento a ser adotado_x000D_
02/01/2023 - Processo incluido no controle</t>
  </si>
  <si>
    <t>2225612292</t>
  </si>
  <si>
    <t>202200177717807</t>
  </si>
  <si>
    <t>SEÇÕES DE LANÇA PARA GUINDASTE CC2800-1, USADAS, TIPO (S7) 2724-22-03/ 2724-22-04, COMPLETAS COM PENDENTES E PINOS PARA MONTAGEM. MARCA: TEREX DEMAG, MODELO: CC 2800-1, NÚMERO DE SERIE 62240, CAPACIDADE DA LANÇA 600
		TON, FLEET NUMBER: 1169, ANO DE FABRICAÇÃO 2008, USADO.</t>
  </si>
  <si>
    <t>17/12/2024 - Juntada efetuada_x000D_
16/12/2024 - Docs recebidos_x000D_
29/11/2024 - Numerario enviado, ag retorno_x000D_
28/11/2024 - Solicitado prorrogaçao por mais 4 meses_x000D_
25/11/2024 - Cobrado procedimento a ser adotado_x000D_
19/11/2024 - Juntada efetuada_x000D_
19/11/2024 - Recebido documentos_x000D_
24/10/2024 - Enviado numerario, ag retorno_x000D_
23/10/2024 - Solciitado prorrogaçao por mais 1 mes_x000D_
30/09/2024 - Cobrado procedimento a ser adotado_x000D_
19/06/2024 - Juntada efetuada_x000D_
19/06/2024 - Docs recebidos_x000D_
10/06/2024 - Numerario enviado, ag retorno_x000D_
04/06/2024 - Prorrogação por mais 5 meses_x000D_
03/06/2024 - Cobrado novamente_x000D_
30/04/2024 - Cobrado procedimento a ser adotado_x000D_
15/01/2024 - Juntada efetuada_x000D_
12/01/2024 - Docs recebidos_x000D_
05/01/2024 - RPR e Numerario enviados, ag retorno_x000D_
04/01/2024 - Solicitado prorrogação por mais 5 meses_x000D_
28/12/2023 - Cobrado novamente_x000D_
21/11/2023 - Cobrado procedimento a ser adotado_x000D_
17/07/2023 - Juntada efetuada através do DOSSIE_x000D_
17/07/2023 - Docs recebidos_x000D_
20/06/2023 - Numerario, TR e RPR enviados, ag retorno_x000D_
19/06/2023 - Informado que será prorrogado por 6 meses_x000D_
18/05/2023  - Cobrado procedimento a ser adotado_x000D_
03/03/2023 - Processo incluido no controle</t>
  </si>
  <si>
    <t>2117258092</t>
  </si>
  <si>
    <t>202100119574713</t>
  </si>
  <si>
    <t>PARTE DE GUINDASTE AUTOPROPELIDO CC2800, SENDO: MOITÃO 200T, CABO DE 28MM, 5 ROLDANAS, MARCA 5321322, MODELO HF-280200-00001, NUMERO DE SERIE 63078-2, ANO DE FABRICAÇÃO 2007 - USADO.</t>
  </si>
  <si>
    <t>18/12/2024 - Juntada efetuada_x000D_
18/12/2024 - Docs recebidos_x000D_
29/11/2024 - Numerario enviado, ag retorno_x000D_
28/11/2024 - Solicitado prorrogaçao por mais 4 meses_x000D_
25/11/2024 - Cobrado procedimento a ser adotado_x000D_
19/11/2024 - Juntada efetuada_x000D_
19/11/2024 - Docs recebidos_x000D_
22/10/2024 - Numerario enviado, ag retorno_x000D_
21/10/2024 - Solciitado prorrogaçao por mais 1 mes_x000D_
30/09/2024 - Cobrado procedimento a ser adotado_x000D_
20/06/2024 - Juntada efetuada_x000D_
19/06/2024 - Docs recebidos_x000D_
10/06/2024 - Enviado RPR, ag retorno_x000D_
04/06/2024 - Solicitado prorrogação por mais 5 meses_x000D_
03/06/2024 - Cobrado novamente_x000D_
30/04/2024 - Cobrado procedimento a ser adotado_x000D_
19/04/2024 - Juntada efetuada_x000D_
19/04/2024 - Documentação recebida_x000D_
03/04/2024 - Numerario, RPR e TR enviados, ag retorno_x000D_
01/04/2024 - Informado que será prorrogado por mais 2 meses_x000D_
22/03/2024 - Cobrado novamente_x000D_
23/02/2024 - Cobrado procedimento a ser adotado_x000D_
19/10/2023 - Juntada efetuada_x000D_
18/10/2023 - Docs recebidos_x000D_
02/10/2023 - Enviado numerario, TR e RPR, ag retorno_x000D_
29/09/2023 - Cobrado novamente, respondido que será prorrogado por mais 6 meses_x000D_
21/08/2023 - Cobrado procedimento a ser adotado_x000D_
14/08/2023 - Juntada efetuada pelo DOSSIE_x000D_
04/08/2023 - Recebido docs_x000D_
31/07/2023 - Numerario, RPR e TR enviados, agr retorno_x000D_
26/07/2023 - Informad que será prorrogado por mais 2 meses_x000D_
26/06/2023 - Cobrado procedimento a ser adotado_x000D_
09/03/2023 - Juntada efetuada no DOSSIE_x000D_
06/03/2023 - Docs recebidos_x000D_
01/02/2023 - Enviado Numerario, RPR e TR, aguardando retorno_x000D_
26/01/2023 - Informado que a prorrogação será até 08/2023_x000D_
24/01/2023 - Cobrado procedimento a ser adotado_x000D_
15/03/2022 - Juntada anexada através do DOSSIE_x000D_
17/02/2022 - Solicitado prorrogação por 12 meses, TR, RAT e Numerário enviados, aguardando retorno_x000D_
19/01/2022 - Cobrado procedimento a ser adotado_x000D_
29/10/2021 - Processo incluido no controle</t>
  </si>
  <si>
    <t>1801413543</t>
  </si>
  <si>
    <t>201800018270352</t>
  </si>
  <si>
    <t>23/12/2024 - Juntada efetuada, docs recebidos_x000D_
29/11/2024 - Enviado Numerario, ag retorno_x000D_
27/11/2024 - Solicitado prorrogaçao por mais 4 meses_x000D_
27/11/2024 - Cobrado novamente_x000D_
28/10/2024 - Cobrado procedimento a ser adotado_x000D_
25/10/2024 - Despacho_x000D_
22/08/2024 - Juntada efetuada_x000D_
12/08/2024 - Docs recebidos_x000D_
07/08/2024 - Enviado Numerario, ag retorno_x000D_
05/08/2024 - Solicitado prorrogação por mais 4 meses_x000D_
25/06/2024 - Cobrado procedimento a ser adotado_x000D_
21/06/2024 - Juntada efetuada_x000D_
19/06/2024 - Docs recebidos_x000D_
17/06/2024 - Numerario enviado, ag retorno_x000D_
11/06/2024 - Prorrogação por mais 2 meses_x000D_
03/06/2024 - Cobrado novamente_x000D_
30/04/2024 - Cobrado procedimento a ser adotado_x000D_
23/01/2024 - Juntada efetuada_x000D_
12/01/2024 - Docs recebidos_x000D_
05/01/2024 - RPR, Numerario e TR enviados, ag retorno_x000D_
04/01/2023 - Solicitado prorrogação por mais 5 meses_x000D_
28/12/2023 - Cobrado novamente_x000D_
01/12/2023 - Cobrado procedimento a ser adotado_x000D_
31/07/2023 - Apolice juntada_x000D_
27/07/2023 - Recebido Apolice_x000D_
21/07/2023 - Juntada efetuada sem Apolice_x000D_
18/07/2023 - Docs recebidos, exceto Apolice_x000D_
27/06/2023 - Numerario, TR e RPR enviados_x000D_
21/06/2023 - Solicitado renovação por 6 meses_x000D_
01/06/2023 - Cobrado procedimento a ser adotado_x000D_
09/02/2023 - Despacho de encaminhamento_x000D_
24/01/2023 - Juntada efetuada DOSSIE  e E-CAC, Apolice recebida_x000D_
23/01/2023 - Docs recebidos, exceto APOLICE, juntada efetuada, aguardando APOLICE_x000D_
02/01/2023 - Enviado Numerario, RPR e TR equivalente a 6 meses, aguardando retorno_x000D_
25/11/2022 - Cobrado procedimento a ser adotado_x000D_
07/11/2022 - Despacho Decisorio_x000D_
14/10/2022 - Despacho de Encaminhamento_x000D_
12/07/2022 - Juntada efetuada no e-CAC e no DOSSIE._x000D_
08/07/2022 - Cobrado os documentos para seguir com o pedido de prorrogação._x000D_
06/06/2022 - Solicitado prorrogação por mais 6 meses, docs enviados, aguardando retorno_x000D_
24/05/2022 - Cobrado procedimento a ser adotado_x000D_
18/02/2022 - Juntada efetuada no e-cac e através do DOSSIE da DI_x000D_
17/02/2022 - Recebido docs_x000D_
04/02/2022 - Solicitado prorrogação por 5 meses, TR e RAT enviados_x000D_
27/01/2022 - Cobrado novamente_x000D_
27/12/2021 - Cobrado procedimento a ser adotado_x000D_
22/11/2021 - Recebido docs, juntada efeuada através do E-CAC e DOSSIE_x000D_
17/11/2021 - Cobrado documentos novamente_x000D_
20/10/2021 - Solicitado renovação por 3 meses, Numerario e TR enviados, aguardando retorno_x000D_
27/09/2021 - Cobrado procedimento a ser adotado_x000D_
23/07/2021 - Docs recebidos, aguardando APOLICE, juntada efetuada através do E-CAC e DOSSIE sem APOLICE, recebido APOLICE, juntada efetuada_x000D_
06/07/2021 - Solicitado prorrogação por 4 meses, Numerário e TR enviados, aguardando docs_x000D_
25/06/2021 - Cobrado novamente_x000D_
25/05/2021 - Cobrado procedimento a ser adotado_x000D_
18/01/2021 - Recebido docs, juntada enviada pelo E-CAC_x000D_
13/01/2021 - Cobrado docs_x000D_
23/12/2020 - Solicitada prorrogação por 6 meses, Numerario e TR enviados_x000D_
24/11/2020 - Cobrado procedimento a ser adotado_x000D_
16/09/2020 - Recebido documentos, Juntada Enviada pelo E-CAC, aguardando parecer da Receita_x000D_
14/09/2020 - Cobrado novamente_x000D_
10/09/2020 - Cobrado novamente_x000D_
27/08/2020 - Solicitado prorrogação ate 23/01/2021, TR  e Numerário enviados_x000D_
24/08/2020 - Cobrado novamente_x000D_
20/07/2020 - Cobrado procedimento a ser adotado_x000D_
15/05/2020 - Juntada enviada_x000D_
11/05/2020 - Cobrado documentação_x000D_
18/03/2020 - Cobrado qual procedimennto será adotado_x000D_
16/01/2020 - Juntada feita pelo E-CAC_x000D_
07/01/2020 - Cobrado documentação_x000D_
23/12/2019 - Cobrado novamente_x000D_
28/11/2019 - Cobrado qual procedimento a ser adotado. _x000D_
16/07/2019 - Juntada protocolada no e-CAC._x000D_
05/07/2019 - Recebido documentação para prosseguir com a prorrogação._x000D_
24/06/2019 - Cobrado documentação._x000D_
06/06/2019 - Enviado numerário, aguardando deposito e documentos para prosseguir com a prorrogação._x000D_
03/06/2019 - Recebido a informação que será prorrogado por 6 meses._x000D_
30/05/2018 - Cobrado qual procedimento a ser adotado. _x000D_
18/01/2019 - Processo enviado para o faturamento._x000D_
17/01/2019 - Juntada enviada e aguardando aprovação._x000D_
16/01/2019 - Recebida copia autenticada do contrato de serviço._x000D_
09/01/2019 - Recebida copia da documentação._x000D_
07/01/2019 - Cobrado documentação para prosseguir com a prorrogação. _x000D_
03/01/2019 - Cobrado documentação para prosseguir com a prorrogação._x000D_
02/01/2019 - Cobrado documentação para prosseguir com a prorrogação._x000D_
21/12/2018 - Enviado numerário e TR ao cliente. Agdo retorno._x000D_
10/12/2018 - O cliente mudou de ideia, o processo será prorrogado por mais 6 meses._x000D_
04/12/2018 - Recebida a informação que o material será reexportado. Enviado e-mail para o setor de exportação para providências. _x000D_
03/12/2018 - Enviado numerario para nacionalização de dois itens._x000D_
03/12/2018 - Cobrado qual procedimento será adotado._x000D_
22/11/2018 - Cobrado qual procedimento será adotado._x000D_
26/09/2018- 2ª Prorrogação enviada ao faturamento_x000D_
26/09/2018 - Agdo aceite de juntada da 1ª prorrogação e 2ª prorrogação _x000D_
26/09/2018 - Documentos juntados ao processo. Agdo aceite de juntada_x000D_
24/09/2018 - Pagamento de darfs e icms_x000D_
19/09/2018 -Recebemos documentos e numerário_x000D_
18/09/2018 - Cobrado  envio dos documentos e transferencia do numerario_x000D_
11/09/2018 - Cobrado  envio dos documentos e transferencia do numerario_x000D_
31/08/2018 - Enviado numerario e TR assinado. Agdo documentos e envio dos numerários_x000D_
27/08/2018 - Informado que será prorrogado por 3 meses;_x000D_
22/08/2018 - Cobrado procedimento será adotado _x000D_
17/07/2018 - Prorrogação faturada_x000D_
11/07/2018- Documentos juntados no processo. Agd aceite de juntada_x000D_
11/07/2018 - Cobrado vias originais ou autenticadas dos documentos e envio da garantia conforme TR corrigido_x000D_
10/07/2018 - Cobrado vias originais ou autenticadas dos documentos e envio da garantia conforme TR corrigido_x000D_
06/07/2018 - Recebido documentos por e-mail_x000D_
03/07/2018 - Solicitação da seguradora referente aos documentos _x000D_
03/07/2018 - Dinheiro do numerário em conta _x000D_
21/06/2018 - Enviado Numerário. Agdo transferência do numerário e Documentos_x000D_
07/05/2019 - Informado que o procedimento a ser adotado será prorrogação por 3 meses_x000D_
04/05/2018 - Cobrado procedimento a ser adotado _x000D_
16/04/2018 - Processo Incluso no Controle_x000D_
* Considerado o prazo do Contrato de Locação, 7 meses a contar da data de assinatura (Cláusula 06 Contrato), até 11/07/2018._x000D_
* Fiscal Concedeu o regime até 19/09/2018, 7 meses a contar do desembaraço.</t>
  </si>
  <si>
    <t>1905629534</t>
  </si>
  <si>
    <t>201900038644169</t>
  </si>
  <si>
    <t>GUINDASTE AUTOPROPELIDO SOBRE ESTEIRAS, MARCA TEREX-DEMAG, MODELO CC2800-I, NUMERO DE SERIE 62277, ANO DE FABRICAÇÃO 2008, USADO, NUMERO DA FROTA 1331, OMPUTADORIZADO, ACIONADO POR MOTOR DIESEL, CAPACIDADE DE 600 TONELADAS, SUPERLIFT, CONTRA-PESOS,COM TODOS ACESSÓRIOS PARA SEU FUNCIONAMENTO, DESMONTADO PARCIALMENTE PARA MANUSEIO E TRANSPORTE.</t>
  </si>
  <si>
    <t>23/12/2024 - Juntada efetuada_x000D_
23/12/2024 - Docs recebidos_x000D_
25/11/2024 - Cobrado procedimento a ser adotado_x000D_
22/11/2024 - Juntada efetuada_x000D_
22/11/2024 - Docs recebidos_x000D_
14/11/2024 - Numerario enviado ag retorno_x000D_
12/11/2024 - Soclitiado prorrogaçao por mais 1 mes_x000D_
30/09/2024 - Cobrado procedimento a ser adotado_x000D_
23/06/2024 - Juntada efetuada_x000D_
21/06/2024 - Docs recebidos_x000D_
14/06/2024 - Enviado numerario, ag retorno_x000D_
11/06/2024 - Solicitado prorrogação por mais 5 meses_x000D_
03/06/2024 - Cobrado novamente_x000D_
30/04/2024 - Cobrado procedimento a ser adotado_x000D_
23/11/2023 - Juntada efetuada_x000D_
22/11/2023 - Docs recebidos_x000D_
27/10/2023 - Numerario e RPR foi enviado, ag retorno_x000D_
26/10/2023 - Cobrado novamente, informado que será prorrogado por mais 7 meses_x000D_
29/09/2023 - Cobrado procedimento a ser adotado_x000D_
19/09/2023 - Juntada efetuada pelo DOSSIE_x000D_
18/09/2023 - Recebido docs_x000D_
05/09/2023 - Enviado Numerario e RPR, ag retorno_x000D_
30/08/2023 - SOlicitado prorrogação por mais 2 meses_x000D_
27/07/2023 - Cobrado procedimento a ser adotado_x000D_
24/07/2023 - Apolice recebida e juntada_x000D_
21/07/2023 - Juntada efetuada sem apolice_x000D_
18/07/2023 - Docs recebidos, exceto Apolice_x000D_
27/06/2023 - Numerario, TR e RPR enviados, ag retorno_x000D_
21/06/2023 - Solicitado prorrogação por 2 meses_x000D_
01/06/2023 - Cobrado procedimento a ser adotado_x000D_
24/01/2023 - Juntada efetuada DOSSIE  e E-CAC, Apolice recebida_x000D_
23/01/2023 - Docs recebidos, exceto APOLICE, juntada efetuada, aguardando APOLICE_x000D_
10/01/2023 - Informado que será prorrogado por 6 meses, numerario, RPR e TR enviados, aguardando retorno_x000D_
25/11/2022 - Cobrado procedimento a ser adotado_x000D_
20/01/2022 - Juntada efetuada no E-CAC e DOSSIE_x000D_
03/01/2022 - Informado que será prorrogado por 12 meses_x000D_
28/12/2021 - Cobrado novamente_x000D_
23/11/2021 - Cobrado procedimento a ser adotado_x000D_
23/07/2021 - Docs recebidos, aguardando APOLICE, juntada efetuada através do E-CAC e DOSSIE sem APOLICE, APOLICE recebida, doc juntado_x000D_
06/07/2021 - Solicitado prorrogação por 6 meses, TR e Numerario enviados_x000D_
25/06/2021 - Cobrado novamente_x000D_
25/05/2021 - Cobrado procedimento a ser adotado_x000D_
04/05/2021 - Esteiras do guindaste com defeito e foram reexportadas, DI 21/0585528-7 para novas esteiras, acopladas ao guindaste_x000D_
08/02/2021 - Despacho Decisorio_x000D_
21/01/2021 - Docs recebidos, juntada feita no E-CAC_x000D_
13/01/2021 - Cobrado docs_x000D_
23/12/2020 - Informado que será prorrogado por 6 meses, TR e Numerario enviados_x000D_
23/11/2020 - Cobrado procedimento a ser adotado_x000D_
15/09/2020 - Despacho Decisorio_x000D_
09/09/2020 - E-CAC com erro (antivirus analisando constantemente), documentos feitos pelo SVA, e protocolo fisicamente junto a RECEITA_x000D_
27/08/2020 - Solicitado prorrogação ate 23/01/2021, TR  e Numerário enviados_x000D_
17/08/2020 - Cobrado novamente_x000D_
10/07/2020 - Cobrado qual procedimento deverá ser adotado_x000D_
18/06/2020 - Despacho Decisorio_x000D_
08/06/2020 - Juntada enviada pelo E-CAC_x000D_
28/05/2020 - TR e Numerario enviados, aguardando documentos_x000D_
27/05/2020 - Cobrado novamente, será prorrogado por mais 3 meses_x000D_
09/04/2020 - Cobrado procedimento a ser adotado_x000D_
29/11/2019 - Juntada protocolada no e-CAC._x000D_
25/11/2019 - Recebido a documentação para inicio da prorrogação._x000D_
14/11/2019 - Cobrado qual procedimento será adotado._x000D_
31/10/2019 - Enviado o numerário e aguardando documentação para inicio da prorrogação._x000D_
29/10/2019 - Recebido a informação que será prorrogado por 6 meses._x000D_
09/10/2019 - Juntada enviada no e-CAC._x000D_
08/10/2019 - Recebido os documentos para inicio da prorrogação._x000D_
07/10/2019 - Cobrado documentação para inicio da prorrogação._x000D_
02/10/2019 - Cobrado documentação para inicio da prorrogação._x000D_
19/09/2019 - Enviando TR e numerario._x000D_
13/09/2019 - Inormado que será prorrogado por dois meses._x000D_
29/08/2019 - Cobrado qual procedimento será adotado._x000D_
24/06/2019 - Processo Incluso no controle</t>
  </si>
  <si>
    <t>1906086887</t>
  </si>
  <si>
    <t>201900038679949</t>
  </si>
  <si>
    <t>19/12/2024 - Juntada efetuada_x000D_
17/12/2024 - Docs recebidos_x000D_
25/11/2024 - Cobrado procedimento a ser adotado_x000D_
22/11/2024 - Juntada efetuada_x000D_
22/11/2024 - Docs recebidos_x000D_
14/11/2024 - Numerario enviado, ag retorno_x000D_
12/11/2024 - SOlicitado renovaçao por mais 1 mes_x000D_
30/09/2024 - Cobrado procedimento a ser adotado_x000D_
21/06/2024 - Juntada efetuada_x000D_
19/06/2024 - Docs recebidos_x000D_
14/06/2024 - Numerario enviado, ag retorno_x000D_
11/06/2024 - Solicitado prorrogação por mais 5 meses_x000D_
03/06/2024 - Cobrado novamente_x000D_
30/04/2024 - Cobrado procedimento a ser adotado_x000D_
15/01/2024 - Juntada efetuada_x000D_
12/01/2024 - Docs recebidos_x000D_
05/01/2024 - RPR e Numerario enviados, ag retorno_x000D_
04/01/2024 - Solicitado prorrogação por mais 5 meses_x000D_
28/12/2023 - Cobrado novamente_x000D_
01/12/2023 - Cobrado procedimento a ser adotado_x000D_
21/07/2023 - Juntada efetuada pelo DOSSIE_x000D_
18/07/2023 - Docs recebidos_x000D_
26/06/2023 - Solicitado renovação por 6 meses, numerario enviado, ag retorno_x000D_
01/06/2023 - Cobrado procedimento a ser adotado_x000D_
19/01/2023 - Juntada efetuada no E-CAC e PORTAL UNICO_x000D_
11/01/2023 - Recebidos docs_x000D_
02/01/2023 - Enviado numerario equivalente a 6 meses, aguardando retorno_x000D_
25/11/2022 - Cobrado procedimento a ser adotado_x000D_
20/01/2022 - Juntada efetuada através do E-CAC e DOSSIE_x000D_
03/01/2022 - Informado que será prorrogado por 12 meses_x000D_
28/12/2021 - Cobrado novamente_x000D_
23/11/2021 - Cobrado procedimento a ser adotado_x000D_
21/07/2021 - Recebido docs, juntada efetuada pelo e E-CAC e DOSSIE_x000D_
06/07/2021 - Solicitado prorrogação por 6 meses, TR e Numerario enviados_x000D_
25/06/2021 - Cobrado novamente_x000D_
25/05/2021 - Cobrado procedimento a ser adotado_x000D_
23/04/2021 - Docs recebidos, juntada efetuada pelo E-CAC e DOSSIE_x000D_
16/04/2021 - Cobrado novamente_x000D_
30/03/2021 - Solcitado Prorrogação por 3 meses, Numerario enviado, ag docs_x000D_
25/03/2021 - Cobrado novamente_x000D_
22/02/2021 - Cobrado procedimento a ser adotado_x000D_
04/02/2021 - Despacho Decisorio_x000D_
21/01/2021 - Docs recebidos, juntada efetuada no E-CAC_x000D_
13/01/2021 - Cobrado docs_x000D_
30/12/2020 - Solicitado prorrogação por mais 3 meses, Numerario enviado_x000D_
29/12/2020 - Cobrado novamente_x000D_
23/11/2020 - Cobrado procedimento a ser adotado_x000D_
30/09/2020 - Despacho Decisorio_x000D_
09/09/2020 - Juntada enviada pelo E-CAC_x000D_
27/08/2020 - Solicitado prorrogação ate 23/01/2021, TR  e Numerário enviados_x000D_
17/08/2020 - Cobrado novamente_x000D_
10/07/2020 - Cobrado qual procedimento deverá ser adotado_x000D_
16/06/2020 - Despacho Decisorio_x000D_
08/06/2020 - Juntada enviada pelo E-CAC_x000D_
28/05/2020 - TR e numerario enviados, aguardando documentos_x000D_
27/05/2020 - Cobrado novamente, informado que será prorrogado por mais 3 meses_x000D_
09/04/2020 - Cobrado procedimento a ser adotado_x000D_
29/11/2019 - Juntada enviada no e-CAC._x000D_
25/11/2019 -Recebido os documentos para inicio da prorrogação._x000D_
14/11/2019 - Cobrado documentos para inicio da prorrogação._x000D_
31/10/2019 - Enviado o numerário e aguardando documentação para inicio da prorrogação._x000D_
29/10/2019 - Recebido a informação que será prorrogado por 6 meses._x000D_
09/10/2019 - Juntada enviada no e-CAC._x000D_
08/10/2019 - Recebido os documentos para inicio da prorrogação._x000D_
07/10/2019 - Cobrado documentação para inicio da prorrogação._x000D_
02/10/2019 - Cobrado documentação para inicio da prorrogação._x000D_
19/09/2019 - Enviando TR e numerario._x000D_
13/09/2019 - Inormado que será prorrogado por dois meses._x000D_
29/08/2019 - Cobrado qual procedimento será adotado._x000D_
16/05/2019 - Processo Incluso no controle</t>
  </si>
  <si>
    <t>2117294706</t>
  </si>
  <si>
    <t>202100119592274</t>
  </si>
  <si>
    <t>SEÇÃO DE LANÇA DE 12 METROS USADA PARA GUINDASTE TEREX-DEMAG CC 2800 - 1 COM TODAS AS PEÇAS E ACESSÓRIOS PARA MONTAGEM E OPERAÇÃO, MARCA: TEREX DEMAG, TIPO: 12 METER MAIN BOOM INSERT 2724-20-01, NUMERO DE SÉRIE 62277, FLEET NUMBER 1331, ANO DE FABRICAÇÃO 2008 - USADO.</t>
  </si>
  <si>
    <t>19/12/2024 - Juntada efetuada_x000D_
18/12/2024 - Docs recebidos_x000D_
25/11/2024 - Cobrado procedimento a ser adotado_x000D_
25/11/2024 - Juntada efetuada_x000D_
22/11/2024 - Docs recebidos_x000D_
14/11/2024 - Numerario enviado, ag retorno_x000D_
11/11/2024 - Solicitado prorrogaçao por mais 1 mes_x000D_
30/09/2024 - Cobrado procedimento a ser adotado_x000D_
21/06/2024 - Juntada efetuada_x000D_
19/06/2024 - Docs recebidos_x000D_
14/06/2024 - Numerario enviado, ag retorno_x000D_
11/06/2024 - Soclitiado prorrogação por mais 5 meses_x000D_
03/06/2024 - Cobrado novamente_x000D_
30/04/2024 - Cobrado procedimento a ser adotado_x000D_
22/03/2024 - Juntada efetuada_x000D_
14/03/2024 - Docs recedibos_x000D_
11/03/2024 - Informado que será prorrogado por mais 3 meses, numerario, RPR e TR enviados, ag retorno_x000D_
01/03/2024 - Cobrado novamente_x000D_
25/01/2024 - Cobrado procedimento a ser adotado_x000D_
20/10/2023 - Juntada efetuada_x000D_
18/10/2023 - Docs recebidos_x000D_
06/10/2023 - TR, RPR e Numerario enviado, ag retorno_x000D_
03/10/2023 - Informado que será prorrogado por mais 5 meses_x000D_
29/09/2023 - Cobrado novamente_x000D_
30/08/2023 - Cobrado procedimento a ser adotado_x000D_
21/07/2023 - Juntada efetuada através do DOSSIE_x000D_
19/07/2023 - Docs recebidos_x000D_
27/06/2023 - Numerario, TR e RPR enviados, ag retorno_x000D_
22/06/2023 - Solicitado prorrogação por 3 meses_x000D_
01/06/2023 - Cobrado procedimento a ser adotado_x000D_
19/01/2023 - Juntada efetuada através do DOSSIÊ_x000D_
12/01/2023 - Docs recebidos_x000D_
02/01/2023 - Enviado Numerario, RPR e TR equivalente a 6 meses, aguardando retorno_x000D_
25/11/2022 - Cobrado procedimento a ser adotado_x000D_
21/01/2022 - Juntada anexada ao DOSSIE_x000D_
03/01/2022 - Informado que será renovado por 12 meses_x000D_
28/12/2021 - Cobrado novamente_x000D_
23/11/2021 - Cobrado procedimento a ser adotado_x000D_
29/10/2021 - Processo incluido no controle</t>
  </si>
  <si>
    <t>2406046760</t>
  </si>
  <si>
    <t>202400230765378</t>
  </si>
  <si>
    <t>LANÇA AUXILIAR MECÂNICA PARA AUMENTAR O COMPRIMENTO, ALTURA E RAIO DO GUINDASTE, USADO, CAPACIDADE: 90 TONS, MARCA: GROVE, MODELO: RT 890E, ANO DE FABRICAÇÃO 2012, NÚMERO DE EQUIPAMENTO/SÉRIE: 232649.</t>
  </si>
  <si>
    <t>23/12/2024 - Juntada efetuada, docs recebidos_x000D_
29/11/2024 - Enviado numerario, ag retorno_x000D_
27/11/2024 - Solicitado prorrogaçao por mais 4 meses_x000D_
27/11/2024 - Cobrado procedimento a ser adotado_x000D_
25/11/2024 - Juntada efetuada_x000D_
22/11/2024 - Docs recebidos_x000D_
14/11/2024 - Numerario enviado, ag retorno_x000D_
12/11/2024 - Solicitado prorrogaçao por mais 1 mes_x000D_
30/09/2024 - Cobrado procedimento a ser adotado_x000D_
25/06/2024 - Juntada efetuada_x000D_
25/06/2024 - Docs recebidos_x000D_
17/06/2024 - Numerario enviado, ag retorno_x000D_
11/06/2024 - Prorrogaçao por mais 5 meses_x000D_
03/06/2024 - Cobrado novamente_x000D_
30/04/2024 - Cobrado procedimento a ser adotado_x000D_
08/04/2024 - Processo incluído no controle</t>
  </si>
  <si>
    <t>2210462397</t>
  </si>
  <si>
    <t>202200151499195</t>
  </si>
  <si>
    <t>GUINDASTE AUTOPROPELIDO SOBRE ESTEIRAS, MARCA KOBELCO, MODELO CKE1100 G-2 , NÚMERO DE SERIE GK06-05004, ANO DE FABRICAÇÃO 2016 - USADO, NÚMERO DA FROTA 2678, COMPUTADORIZADO, ACIONADO POR MOTOR DIESEL, CAPACIDADE DE 110 TONELADAS, CONTRA-PESOS, COM TODOS ACESSÓRIOS PARA SEU FUNCIONAMENTO ATÉ 28 METROS DE LANÇA, DESMONTADO PARCIALMENTE PARA MANUSEIO E TRANSPORTE.</t>
  </si>
  <si>
    <t>26/12/2024 - Juntada efetuada_x000D_
23/12/2024 - Docs recebidos_x000D_
28/10/2024 - Cobrado procedimento a ser adotado_x000D_
27/09/2024 - Juntada efetuada_x000D_
27/09/2024 - Docs recebidos_x000D_
09/09/2024 - Cobrado novamente_x000D_
05/08/2024 - Cobrado procedimento a ser adotado_x000D_
28/06/2024 - Juntada efetuada_x000D_
27/06/2024 - Docs recebidos_x000D_
14/06/2024 - Numerario enviado, ag retorno_x000D_
13/06/2024 - Solicitado prorrogação por mais 3 meses_x000D_
03/06/2024 - Cobrado novamente_x000D_
30/04/2024 - Cobrado procedimento a ser adotado_x000D_
27/12/2023 - Juntada efetuada._x000D_
30/11/2023 - Numerario e RPR enviados, ag retorno_x000D_
22/11/2023 - Informado que será prorrogado por mais 6 meses_x000D_
30/10/2023 - Cobrado procedimento a ser adotado_x000D_
27/06/2023 - Juntada efetuada através do DOSSIE_x000D_
27/06/2023 - Doctos recebidos_x000D_
01/06/2023 - Solicitado prorrogação por 6 meses, TR, RAT  e Numerario enviados, ag retorno_x000D_
26/04/2023 - Cobrado procedimento a ser adotado_x000D_
28/07/2022 - Processo incluido no controle</t>
  </si>
  <si>
    <t>2210427150</t>
  </si>
  <si>
    <t>202200151629293</t>
  </si>
  <si>
    <t>GUINDASTE AUTOPROPULSADO SOB ESTEIRAS, MARCA LIEBHERR, MODELO LR1300-W, SERIE 138128, ANO 2010 - USADO, NUMERO DE FROTA 1844, COM CAPACIDADE TOTAL DE ELEVAÇÃO MÁXIMA DE 300 TONELADAS, INTEIRAMENTE DESMONTADO PARA MANUSEIO E TRANSPORTE, COM TODOS OS SEUS ACESSÓRIOS PARA SEU FUNCIONAMENTO ATÉ 65 METROS DE LANÇA, COMPOSTODE: CORPO PRINCIPAL, ESTEIRAS, CONTRAPESOS, LANÇA PRINCIPAL , DISPOSITIVOS E FERRAMENTAS DE
		MONTAGEM E IÇAMENTO E DEMAIS ACESSÓRIOS NECESSÁRIOS A OPERAÇÃO DO EQUIPAMENTO</t>
  </si>
  <si>
    <t>26/12/2024 - Juntada efetuada_x000D_
23/12/2024 - Docs recebidos_x000D_
28/10/2024 - Cobrado procedimento a ser adotado_x000D_
27/09/2024 - Juntada efetuada_x000D_
27/09/2024 - Docs recebidos_x000D_
09/09/2024 - Cobrado novamente_x000D_
05/08/2024 - Cobrado procedimento a ser adotado_x000D_
28/06/2024 - Juntada efetuada_x000D_
27/06/2024 - Docs recebidos_x000D_
17/06/2024 - Numerario enviado, ag retorno_x000D_
13/06/2024 - Prorrogação por mais 3 meses_x000D_
30/04/2024 - Cobrado procedimento a ser adotado_x000D_
26/12/2023 - Juntada efetuada._x000D_
30/11/2023 - Numerario e RPR enviados, ag retorno_x000D_
22/11/2023 - Solicitado prorrogação por mais 6 meses_x000D_
30/10/2023 - Cobrado procedimento a ser adotado_x000D_
27/06/2023 - Juntada efetuada através do DOSSIE_x000D_
26/06/2023 - Documentação recebida_x000D_
01/06/2023 - Solicitado prorrogação por 6 meses, Numerario, TR e RAT enviados, aguardando retorno_x000D_
26/04/2023 - Cobrado procediment a ser adotado_x000D_
28/07/2022 - Processo incluido no controle</t>
  </si>
  <si>
    <t>2210450267</t>
  </si>
  <si>
    <t>202200151434298</t>
  </si>
  <si>
    <t>GUINDASTE AUTOPROPELIDO SOBRE ESTEIRAS, MARCA KOBELCO, MODELO CK1100 , NÚMERO DE SERIE GH04-03371, ANO DE FABRICAÇÃO 2014 - USADO, NÚMERO DA FROTA 2611, COMPUTADORIZADO, ACIONADO POR MOTOR DIESEL, CAPACIDADE DE 110 TONELADAS, CONTRA-PESOS, COM TODOS ACESSÓRIOS PARA SEU FUNCIONAMENTO ATÉ 28 METROS DE LANÇA, DESMONTADO PARCIALMENTE PARA MANUSEIO E TRANSPORTE.</t>
  </si>
  <si>
    <t>26/12/2024 - Juntada efetuada_x000D_
23/12/2024 - Docs recebidos_x000D_
28/10/2024 - Cobrado procedimento a ser adotado_x000D_
27/09/2024 - Juntada efetuada_x000D_
27/09/2024 - Docs recebidos_x000D_
09/09/2024 - Cobrado novamente_x000D_
05/08/2024 - Cobrado procedimento a ser adotado_x000D_
28/06/2024 - Juntada efetuada_x000D_
27/06/2024 - Docs recebidos_x000D_
14/06/2024 - Numerario enviado, ag retorno_x000D_
13/06/2024 - Solicitado prorrogação por mais 3 meses_x000D_
30/04/2024 - Cobrado procedimento a ser adotado_x000D_
26/12/2023 - Juntada efetuada._x000D_
22/11/2023 - Informado que será prorrogado por mais 6 meses, Numerario e RPR enviados, ag retorno_x000D_
30/10/2023 - Cobrado procedimento a ser adotado_x000D_
28/06/2023 - Juntada efetuada através do DOSSIE_x000D_
28/06/2023 - Recebido documentos_x000D_
27/06/2023 - Cobrado retorno_x000D_
01/06/2023 - Solicitado prorrogação por 6 meses, Numerario, TR e RAT enviados, aguardando retorno_x000D_
26/04/2023 - Cobrado procedimento a ser adotado_x000D_
28/07/2022 - Processo incluido no controle</t>
  </si>
  <si>
    <t>2210475103</t>
  </si>
  <si>
    <t>202200151564345</t>
  </si>
  <si>
    <t>CAMINHÃO GUINDASTE SOBRE PNEU COM LANÇA TELESCÓPICA ATÉ 50 METROS, CAPACIDADE MÁXIMA DE ELEVAÇÃO 90 TONELADAS, COM 2 EIXOS TOTAIS SENDO 2 EIXOS DIRECIONÁVEIS, PRONTO PARA MANUSEIO E OPERAÇÃO. MARCA GROVE, MODELO RT890E, USADO, ANO DE FABRICAÇÃO 2012, NUMERO DE SÉRIE 232649, FROTA 2144.</t>
  </si>
  <si>
    <t>26/12/2024 - Juntada efetuada_x000D_
23/12/2024 - Docs recebidos_x000D_
08/11/2024 - Cobrado procedimento a ser adotado_x000D_
28/09/2024 - Juntada efetuada_x000D_
27/09/2024 - Docs recebidos_x000D_
09/09/2024 - Cobrado novamente_x000D_
05/08/2024 - Cobrado procedimento a ser adotado_x000D_
28/06/2024 - Juntada efetuada_x000D_
27/06/2024 - Docs recebidos_x000D_
14/06/2024 - Numerario enviado, ag retorno_x000D_
13/06/2024 - Solicitado prorrogação por mais 3 meses_x000D_
30/04/2024 - Cobrado procedimento a ser adotado_x000D_
28/12/2023 - Juntada efetuada_x000D_
22/12/2023 - Recebido docs_x000D_
30/11/2023 - Numerario e RPR enviados, ag retorno[_x000D_
22/11/2023 - Solicitado prorrogaçção por mais 6 meses_x000D_
30/10/2023 - Cobrado procedimento a ser adotado_x000D_
03/07/2023 - Juntada efetuada através do DOSSIE, Apolice recebida em 30/06 a noite_x000D_
28/06/2023 - Docs recebidos, exceto APOLICE. Anexado ao DOSSIE o que foi recebido_x000D_
27/06/2023 - Cobrado retorno_x000D_
01/06/2023 - Solicitado prorrogação por 6 meses, Numerario, TR e RAT enviados, aguardando retorno_x000D_
26/04/2023 - Cobrado procedimento a ser adotado_x000D_
28/07/2022 - Processo incluido no controle</t>
  </si>
  <si>
    <t>240006359556</t>
  </si>
  <si>
    <t>202400233843302</t>
  </si>
  <si>
    <t>2104031884</t>
  </si>
  <si>
    <t>202100101144776</t>
  </si>
  <si>
    <t>CONJUNTO TENSOR PARA LANÇA DE 108 METROS, TIPO SSL/LSL, MARCA TEREX, SEM NUMERO DE SERIE , ANO DE FABRICAÇÃO 2008</t>
  </si>
  <si>
    <t>10/12/2024 - Despacho_x000D_
04/12/2024 - Juntada efetuda_x000D_
25/11/2024 - Solicitado prorrogaçao por mais 6 meses, ag retorno_x000D_
18/11/2024 - Despacho_x000D_
13/11/2024 - Intimaçao_x000D_
06/11/2024 - Cobrado procedimento a ser adotado_x000D_
01/11/2024 - Juntada efetuada_x000D_
30/10/2024 - Docs recebidos_x000D_
18/10/2024 - Numerario enviado, ag retorno_x000D_
17/10/2024 - Solicitado renovaçao por mais 1 mes_x000D_
14/10/2024 - Cobrado novamente_x000D_
09/09/2024 - Cobrado procedimento a ser adotado_x000D_
04/07/2024 - Juntada efetuada_x000D_
02/07/2024 - Docs recebidos_x000D_
25/06/2024 - Solicitado prorrogaçao por mais 4 meses, numerario enviado, ag retorno_x000D_
10/06/2024 - Cobrado procedimento_x000D_
05/06/2024 - Juntada efetuada_x000D_
29/05/2024 - Docs recebidos_x000D_
24/05/2024 - Enviado Numerario e RPR, ag retorno_x000D_
21/05/2024 - Solicitadoprorrogação por mais 1 mes_x000D_
08/05/2024 - Cobrado novamente_x000D_
05/04/2024 - Cobrado procedimento a ser adotado_x000D_
04/01/2024 - Juntada efetuada_x000D_
03/01/2024 - Docs recebidos_x000D_
08/11/2023 - Cobrado procedimento a ser adotado_x000D_
14/07/2023 - Despacho decisorio_x000D_
03/07/2023 - Juntada efetuada através do DOSSIÊ_x000D_
28/06/2023 - Docs recebidos_x000D_
20/06/2023 - Numerario e TR enviado, ag retorno_x000D_
19/06/2023 - Informado que será prorrogado por 6 meses_x000D_
09/05/2023 - Cobrado procedimento a ser adotado_x000D_
21/03/2023 - Despacho Decisorio_x000D_
01/03/2023 - Juntada efetuada atravé do DOSSIE_x000D_
28/02/2023 - Cobrado retorno, recebido documentação_x000D_
08/02/2023 - Solicitado prorrogação, enviado numerário, aguardando retorno_x000D_
10/01/2023 - Cobrado procedimento a ser adotado_x000D_
22/03/2022 - Despacho Decisorio_x000D_
16/02/2022 - Juntada anexada através do DOSSIE_x000D_
08/02/2022 - Solicitado prorrogação por 12 meses, solicitação de numerário enviada, ag retorno_x000D_
05/01/2022 - Cobrado procedimento a ser adotado_x000D_
14/09/2021 - Despacho Decisorio_x000D_
30/08/2021 - Docs recebidos, docs anexados ao DOSSIE_x000D_
06/08/2021 - Solicitado renovação por 6 meses, enviado numerário, ag docs_x000D_
13/07/2021 Cobrado procedimento a ser adotado_x000D_
11/05/2021 - Processo incluído no controle</t>
  </si>
  <si>
    <t>1908940648</t>
  </si>
  <si>
    <t>201900042372208</t>
  </si>
  <si>
    <t>10/12/2024 - Despacho_x000D_
04/12/2024 - Juntada efetuada_x000D_
25/11/2024 - Numerario enviado, ag retorno_x000D_
22/11/2024 - Cobrado renovaçao por mais 6 meses_x000D_
18/11/2024 - Despacho_x000D_
14/11/2024 - Intimaçao_x000D_
06/11/2024 - Initmaçao_x000D_
06/11/2024 - Juntada efetuada_x000D_
30/10/2024 - Docs recebidos_x000D_
18/10/2024 - Numerario enviado, ag retorno_x000D_
17/10/2024 - Solciitado prorrogaçao por mais 1 mes_x000D_
14/10/2024 - Cobrado novamente_x000D_
09/09/2024 - Cobrado procedimento a ser adotado_x000D_
08/07/2024 - Despacho decisorio_x000D_
05/07/2024 - Juntada efetuada_x000D_
02/07/2024 - Docs recebidos_x000D_
25/06/2024 - Solicitado prorrogação por mais 4 meses, numerario enviado, ag retorno_x000D_
08/05/2024 - Cobrado procedimento a ser adotado_x000D_
05/02/2024 - Juntada efetuada, despacho decisorio_x000D_
30/01/2024 - Docs recebidos_x000D_
19/01/2024 - RPR e Numerario enviados, ag retorno_x000D_
17/01/2024 - Solicitado prorrogação por mais 5 meses_x000D_
15/01/2024 - Cobrado novamente_x000D_
01/12/2023 - Cobrado procedimento a ser adotado_x000D_
18/08/2023 - Despacho Decisorio_x000D_
03/08/2023 - Juntada efetuada_x000D_
26/07/2023 - Recebido docs_x000D_
10/07/2023 - Enviado numerario, ag retorno_x000D_
04/07/2023 - Informado que será prorrogado por 6 meses_x000D_
15/06/2023 - Cobrado procedimento a ser adotado_x000D_
17/02/2023 - Intimação respondida, Despacho Decisorio_x000D_
10/02/2023 - Intimação_x000D_
31/01/2023 - Juntada efetuada no ECAC e DOSSIE_x000D_
19/01/2023 - Docs recebidos_x000D_
02/01/2022 - Informado que será renovado por 6 meses, Numerário enviado, aguardando retorno_x000D_
07/12/2022 - Cobrado procedimento a ser adotado_x000D_
09/02/2022 - Despacho Decisorio_x000D_
03/02/2022 - Juntada efetuada pelo E-CAC e DOSSIE_x000D_
01/02/2022 - Recebido documentação_x000D_
19/01/2022 - Cobrado procedimento a ser adotado, solicitado prorrogação por 12 meses, numerário enviado, aguardando retorno_x000D_
16/08/2021 - Despacho Decisorio_x000D_
05/08/2021 -Docs recebidos, Juntada efetuada pelo E-CAC e DOSSIE_x000D_
15/07/2021 - Solicitado prorrogação por 6 meses, solicitação de Numerario enviado, aguardando retorno_x000D_
07/06/2021 - Cobrado procedimento a ser adotado_x000D_
08/02/2021 - Despacho Decisorio_x000D_
03/02/2021 - Docs recebidos, juntada efetuada pelo E-CAC_x000D_
01/02/2021 - Cobrado docs_x000D_
30/12/2020 - Solicitado prorrogação por 6 meses, Numerario enviado_x000D_
07/12/2020 - Cobrado procedimento_x000D_
10/09/2020 - Despacho Decisorio_x000D_
03/09/2020 - Juntada enviada pelo E-CAC_x000D_
31/08/2020 - Cobrado documentos_x000D_
12/08/2020 - Solicitado prorrogação de 5 meses, TR e Numerário enviados, aguardando Transferencia e documentos._x000D_
08/07/2020 - Cobrado qual procedimento deverá ser adotado_x000D_
09/06/2020 - Depacho Decisorio_x000D_
04/06/2020 - Protocolo da Juntada Enviada_x000D_
01/06/2020 - Cobrado novamente_x000D_
28/05/2020 - TR e Numerario enviados, aguardando documentação_x000D_
27/05/2020 - Cobrado novamente, informado que será prorrogado por mais 3 meses_x000D_
06/04/2020 - Cobrado procedimento a ser adotado_x000D_
09/12/2019 - Despacho decisório_x000D_
29/11/2019 - Juntada enviada no e-CAC. _x000D_
25/11/2019 - Cobrado docutamação para inicio da prorrogação._x000D_
14/11/2019 - Cobrado qual procedimento será adotado._x000D_
31/10/2019 - Enviado o numerário e aguardando documentação para inicio da prorrogação._x000D_
29/10/2019 - Recebido a informação que será prorrogado por 6 meses._x000D_
19/07/2019 - Processo Incluso no controle</t>
  </si>
  <si>
    <t>2410910580</t>
  </si>
  <si>
    <t>202400238478718</t>
  </si>
  <si>
    <t>UNIDADE MÓVEL DE PRODUÇÃO DE ÁGUA POTÁVEL, AUTÓNOMA E DE GRANDE CAPACIDADE (15 M3/H), ADAPTADO AO CONTEXTO DE EMERGÊNCIA HUMANITÁRIA PARA DISTRIBUIÇÃO DIRETA ÀS PESSOAS AFETADAS POPULAÇÃO E/OU EM CAMPOS DE REFUGIADOS, EQUIPADO COM MEMBRANAS DE ULTRAFILTRAÇÃO COM LIMITE DE CORTE DE 0,04 ?M, ELIMINA TODOS OS COLÓIDES E BACTÉRIAS, ASSIM COMO A MAIORIA DOS VÍRUS POTENCIALMENTE PRESENTES NA ÁGUA BRUTA, PROCEDIMENTO É COMPLETADO POR UM TRATAMENTO DE CARVÃO ATIVADO GRANULAR PARA TRATAR COR, ODOR E ALGUMA POLUIÇÃO COMPLEXA E COMPLETADO PELA INJEÇÃO DE CLORO PARA FINALIZAR A DESINFECÇÃO E GARANTIR A PERSISTÊNCIA NA ÁGUA DISTRIBUÍDA. MARCA: VEOLIA MODELO: AF7500UF SÉRIE: FV/UF/7500/1 ANO DE FABRICAÇÃO: 2019 USADO.</t>
  </si>
  <si>
    <t>230002563884</t>
  </si>
  <si>
    <t>202300183358937</t>
  </si>
  <si>
    <t>21/11/2024 - Juntada efetuada_x000D_
21/11/2024 - Docs recebidos_x000D_
07/11/2024 - Informado que será prorrogado por mais 6 meses, ag retorno_x000D_
30/09/2024 - Cobrado procedimento a ser adotado_x000D_
20/09/2024 - Juntada efetuada_x000D_
20/09/2024 - Docs recebidos_x000D_
16/09/2024 - Solicitado prorrogaçao por mais 2 meses, RPR enivado, ag retorno_x000D_
09/09/2024 - Cobrado novamente_x000D_
25/07/2024 - Cobrado procedimento a ser adotado_x000D_
19/07/2024 - Juntada efetuada_x000D_
19/07/2024 - Docs recebidos_x000D_
17/07/2024 - RPR enviado, ag retorno_x000D_
16/07/2024 - Solicitado prorrogaçao por mais 2 meses_x000D_
05/07/2024 - Cobrado novamente_x000D_
03/06/2024 - Cobrado procedimento a ser adotado_x000D_
19/01/2024 - Juntada efetuada_x000D_
17/01/2024 - Docs recebidos_x000D_
05/01/2024 - RPR enviado, ag retorno_x000D_
04/01/2024 - Solicitado prorrogação por mais 6 meses_x000D_
28/12/2023 - Cobrado novamente_x000D_
21/11/2023 - Cobrado procedimento a ser adotado_x000D_
20/10/2023 - Juntada efetuada_x000D_
19/10/2023 - Recebido Aditivo_x000D_
11/10/2023 - RPR enviado, ag retorno_x000D_
10/10/2023 - Informado que será renovado por 3 meses_x000D_
29/09/2023 - Cobrado novamente_x000D_
21/08/2023 - Cobrado procedimento a ser adotado_x000D_
08/03/2023 - Processo incluido no controle</t>
  </si>
  <si>
    <t>2210492504</t>
  </si>
  <si>
    <t>202200151601747</t>
  </si>
  <si>
    <t>DISPOSITIVO ESPECIAL PARA CONEXÃO FÍSICA DE GRUPOS DE LINHA DE EIXO, MODELO CO-BL-SCH-BX-2, ANO DE FABRICAÇÃO 2007 - USADO, FROTA Nº 5601638, COR VERMELHO. UTILIZADO EM VEICULO AUTOPROPELIDO PARA TRANSPORTE A PEQUENA DISTANCIA DE ESTRUTURA DE GRANDE DIMENSÃO.</t>
  </si>
  <si>
    <t>29/11/2024 - Juntada efetuada_x000D_
28/11/2024 - Docs recebidos_x000D_
25/11/2024 - Numerario enviado, ag retorno_x000D_
21/11/2024 - Solicitado prorrogaçao por mais 6 meses_x000D_
30/09/2024 - Cobrado procedimento a ser adotado_x000D_
28/06/2024 - Juntada efetuada_x000D_
27/06/2024 - Docs recebidos_x000D_
17/06/2024 - Numerario enviado, ag retorno_x000D_
13/06/2024 - Porrogação por mais 5 meses_x000D_
30/04/2024 - Cobrado procedimento a ser adotado_x000D_
29/12/2023 - Juntada efetuada_x000D_
22/12/2023 - Docs recebidos_x000D_
01/12/2023 - Enviado RPR e Numerario, ag retorno_x000D_
22/11/2023 - Solicitado prorrogação por mais 6 meses_x000D_
30/10/2023 - Cobrado procedimento a ser adotado_x000D_
28/06/2023 - Juntada efetuada pelo DOSSIE_x000D_
15/06/2023 - Enviado documentação_x000D_
01/06/2023 - Solicitado prorrogação por 6 meses, Numerario enviado, aguardando retorno_x000D_
26/04/2023 - Cobrado procedimento a ser adotado_x000D_
28/07/2022 - Processo incluido no controle</t>
  </si>
  <si>
    <t>2119044286</t>
  </si>
  <si>
    <t>202100123107563</t>
  </si>
  <si>
    <t>03/12/2024 - Juntada efetuda_x000D_
25/11/2024 - Solicitado prorrogacao por mais 6 meses, numerario enviado ag retorno_x000D_
06/11/2024 - Cobrado procedimento a ser adotado_x000D_
04/11/2024 - Juntada efetuada_x000D_
29/10/2024 - Docs recebidos_x000D_
18/10/2024 - Numerario enviado, ag retorno_x000D_
17/10/2024 - Solicitado prorrogaçao por mais 1 mes_x000D_
09/09/2024 - Cobrado procedimento a ser adotado_x000D_
05/07/2024 - Juntada efetuada_x000D_
05/07/2024 - Docs recebidos_x000D_
25/06/2024 - Solicitado prorrogação por mais 4 meses, numerario enviado, ag retorno_x000D_
10/06/2024 - Cobrado procedimento_x000D_
06/06/2024 - Juntada efetuada_x000D_
05/05/2024 - Docs recebidos_x000D_
27/05/2024 - Solicitado renovação por mais 1 nes, ag retorno_x000D_
08/05/2024 - Cobrado novamente_x000D_
15/04/2024 - Cobrado procedimento a ser adotado_x000D_
05/01/2024 - Juntada efetuada_x000D_
05/01/2024 - Docs recebidos_x000D_
08/11/2023 - Cobrado procedimento a ser adotado_x000D_
06/07/2023 - Juntada efetuada através do DOSSIE_x000D_
27/06/2023 - Docs recebidos_x000D_
19/06/2023 - Informado que será prorrogado por 6 meses, Numerario enviado, ag retorno_x000D_
09/05/2023 - Cobrado procedimento a ser adotado_x000D_
05/04/2023 - Juntada efetuada pelo DOSSIE_x000D_
04/04/2023 - Docs recebidos_x000D_
15/03/2023 - Numerario enviado, ag retorno_x000D_
14/03/2023 - Cobrado novamente, informado que será prorrogado por mais 3 meses_x000D_
08/02/2023 - Cobrado procedimento a ser adotado_x000D_
06/04/2022 - Juntada anexada ao DOSSIE_x000D_
31/03/2022 - Cobrado documentos novamente_x000D_
14/03/2022 - Solicitado renovação por 12 meses, numerário enviado_x000D_
09/03/2022 - Cobrado novamente_x000D_
04/02/2022 - Cobrado procedimento a ser adotado_x000D_
29/10/2021 - Processo incluido no controle</t>
  </si>
  <si>
    <t>2106758145</t>
  </si>
  <si>
    <t>202100105179086</t>
  </si>
  <si>
    <t>10/12/2024 - Juntada efetuada_x000D_
03/12/2024 - Docs recebidos_x000D_
25/11/2024 - Solicitado prorrogaçao por mais 6 meses, numerario enviado, ag retorno_x000D_
18/11/2024 - Cobrado procedimento a ser adotado_x000D_
11/11/2024 - Juntada efetuada_x000D_
11/11/2024 - Docs recebidos_x000D_
22/10/2024 - Numerario enviado, ag retorno_x000D_
21/10/2024 - Solciitado prorrogaçao por mais 1 mes_x000D_
14/10/2024 - Cobrado novamente_x000D_
30/09/2024 - Cobrado procedimento a ser adotado_x000D_
11/06/2024 - Juntada efetuada_x000D_
07/06/2024 - Docs recebidos_x000D_
29/05/2024 - Solicitado prorrogação por mais 1 mes, ag retorno_x000D_
15/04/2024 - Cobrado procedimento a ser adotado_x000D_
11/01/2024 - Juntada efetuada_x000D_
09/01/2024 - Docs recebidos_x000D_
04/01/2024 - Numerario e RPR enviados, ag retorno_x000D_
03/01/2024 - Informado que será prorrogado por mais 4 meses_x000D_
28/12/2023 - Cobrado novamente_x000D_
21/11/2023 - Cobrado procedimento a ser adotado_x000D_
10/07/2023 - Juntada efetuada através do DOSSIE_x000D_
07/07/2023 - Docs recebidos_x000D_
20/06/2023 - Numerario enviado, ag retorno_x000D_
19/06/2023 - Informado que será prorrogado por 6 meses_x000D_
18/05/2023 - Cobrado procedimento a ser adotado_x000D_
06/04/2023 - Juntada efetuada no DOSSIE_x000D_
04/04/2023 - Docs recebidos_x000D_
15/03/2023 - Numerario enviado, ag retorno_x000D_
14/03/2023 - Cobrado novamente, Informado que será prorrogado por 3 meses_x000D_
16/02/2023 - Cobrado procedimento a ser adotado_x000D_
11/04/2022 - Juntada anexada ao DOSSIE_x000D_
07/04/2022 - Informado que será prorrogado por 12 meses, numerário enviado, aguardando retorno_x000D_
28/03/2022 - Cobrado novamente_x000D_
14/02/2022 - Cobrado procedimento a ser adotado_x000D_
13/10/2021 - Recebido documentos, e anexados ao DOSSIE_x000D_
05/10/2021 - Cobrado novamente, solicitado prorrogação por 6 meses, Numerario enviado, aguardando retorno_x000D_
27/09/2021 - Cobrado novamente_x000D_
16/08/2021 - Cobrado procedimento a ser adotado_x000D_
26/04/2021 - Processo incluido no controle</t>
  </si>
  <si>
    <t>2213762170</t>
  </si>
  <si>
    <t>202200158856694</t>
  </si>
  <si>
    <t>POWER PACK DE MOVIMENTO RETILÍNEO (CILINDROS), MARCA SCHEUERLE FAHRZEUGFABRIK GMBH, MODELO PPU Z350DC, NÚMERO DE SÉRIE W09913XXX6PS17973, FROTA 303793, ANO DE FABRICAÇÃO 2006, USADO, COM DISPOSITIVOS E FERRAMENTAS DE MONTAGEM E ACESSÓRIOS NECESSÁRIOS PARA OPERAÇÃO.</t>
  </si>
  <si>
    <t>17/12/2024 - Juntada efetuada_x000D_
16/12/2024 - Docs recebidos_x000D_
29/11/2024 - Numerario enviado, ag retorno_x000D_
28/11/2024 - Solicitado prorrogaçao por mais 6 meses_x000D_
25/11/2024 - Cobrado procedimento a ser adotado_x000D_
21/11/2024 - Juntada efetuada_x000D_
21/11/2024 - Docs recebidos_x000D_
14/11/2024 - Numerario enviado, ag retorno_x000D_
12/11/2024 - Solicitado prorrogaçao por mais 1 mes_x000D_
30/09/2024 - Cobrado procedimento a ser adotado_x000D_
21/08/2024 - Juntada efetuada_x000D_
12/08/2024 - Docs recebidos_x000D_
07/08/2024 - Numerario enviado, ag retorno_x000D_
05/08/2024 - Solicitado prorrogação por mais 3 meses_x000D_
25/06/2024 - Cobrado procedimento a ser adotado_x000D_
21/06/2024 - Juntada efetuada_x000D_
19/06/2024 - Docs recebidos_x000D_
17/06/2024 - Numerario enviado, ag retorno_x000D_
11/06/2024 - Prorrogação por mais 2 meses_x000D_
03/06/2024 - Cobrado novamente_x000D_
30/04/2024 - Cobrado procedimento a ser adotado_x000D_
22/12/2023 - Juntada efetuada._x000D_
01/12/2023 - RPR e Numerario enviados, ag retorno_x000D_
22/11/2023 - Solicitado renovação por mais 6 meses_x000D_
26/10/2023 - Cobrado procedimento a ser adotado_x000D_
21/06/2023 - Juntada efetuada através do DOSSIE_x000D_
21/06/2023 - Recebido Apolice_x000D_
16/06/2023 - Recbido documentação exceto Apolice_x000D_
02/06/2023 - Solicitado prorrogação por 6 meses, TR, RPR e Numerário enviados, agr retorno_x000D_
01/06/2023 - Cobrado novamente_x000D_
03/05/2023 - Cobrado procedimento a ser adotado_x000D_
22/09/2022 - Processo incluido no controle</t>
  </si>
  <si>
    <t>2216549737</t>
  </si>
  <si>
    <t>202200163555567</t>
  </si>
  <si>
    <t>POWER PACK DE MOVIMENTO RETILÍNEO (CILINDROS), MARCA SCHEUERLE FAHRZEUGFABRIK GMBH, MODELO PPU Z350DC, NÚMERO DE SÉRIE W09932XX88PS17574, FROTA 303764, ANO DE FABRICAÇÃO 2009, USADO, COM DISPOSITIVOS E FERRAMENTAS DE MONTAGEM E ACESSÓRIOS NECESSÁRIOS PARA OPERAÇÃO.</t>
  </si>
  <si>
    <t>18/12/2024 - Juntada efetuada_x000D_
17/12/2024 - Docs recebidos_x000D_
29/11/2024 - Enviado numerario, ag retorno_x000D_
28/11/2024 - Solicitado prorrogaçao por mais 6 meses_x000D_
25/11/2024 - Cobrado procedimento a ser adotado_x000D_
22/11/2024 - Juntada efetuada_x000D_
22/11/2024 - Docs recebidos_x000D_
14/11/2024 - Numerairo enviado, ag retorno_x000D_
12/11/2024 - Solicitado prorrogaçao por mais 1 mes_x000D_
30/09/2024 - Cobrado procedimento a ser adotado_x000D_
22/08/2024 - Juntada efetuada_x000D_
12/08/2024 - Docs recebidos_x000D_
07/08/2024 - Numerario enviado, ag retorno_x000D_
05/08/2024 - Solicitado prorrogação por mais 3 meses_x000D_
25/06/2024 - Cobrado procedimento a ser adotado_x000D_
21/06/2024 - Juntada efetuada_x000D_
19/06/2024 - Docs recebidos_x000D_
17/06/2024 - Numerario enviado, ag retorno_x000D_
11/06/2024 - Prorrogaçao por mais 2 meses_x000D_
03/06/2024 - Cobrado novamente_x000D_
30/04/2024 - Cobrado procedimento a ser adotado_x000D_
21/09/2023 - Juntada efetuada pelo DOSSIE_x000D_
21/09/2023 - Recebido docs_x000D_
31/07/2023 - Enviado numerario, TR e RPR., ag retorno_x000D_
26/07/2023 - Informado que sera prorrogado por mais 12 meses_x000D_
26/06/2023 - Cobrado procedimento a ser adotado_x000D_
04/10/2022 - Processo incluido no controle</t>
  </si>
  <si>
    <t>2422306844</t>
  </si>
  <si>
    <t>202400256103291</t>
  </si>
  <si>
    <t>NOME DA LINDWAY EMBARCAÇÃO: TIPO DE EMBARCAÇÃO: DRAGAS AUTOTRANSPORTADORAS DE ARRASTO E SUCÇÃO IMO: 8402773 BANDEIRA:BELIZE CLASSE:*A1, SERVIÇO DE DRAGAGEM, © , *AMS, *ACCU CLASSIFICAÇÃO: AMERICAN BUREAU OF SHIPPING CÓDIGO INDICATIVO: V3NR7 CONSTRUÇÃO: 1985, EUA, EQUIPADO COM PRAÇA DE MÁQUINAS,
		SALA DE BOMBAS DE PROA, PAIOL DE TINTAS, SALA DE AR CONDICIONADO, SALA DE LEME, TREMONHA, PONTE. O NAVIO ESTÁ EQUIPADO COM UMA ACOMODAÇÃO PARA 24 PESSOAS.DIMENSÕES:COMPRIMENTO TOTAL: 93,88 METROS COMPRIMENTO ENTRE PERPENDICULARES: 84,73 METROS BOCA MOLDADA: 16,76 METROS PROFUNDIDADE MOLDADA A MEIA-NAU: 7,47 METROS CALADO DE VERÃO: 6,05 METROS CALADO DE DRAGAGEM: 6,05 METROS ALTURA: 24,99 METROS TONELAGEM (T):TONELAGEM BRUTA: 3498 TONELAGEM LÍQUIDA: 1049 PORTE BRUTO: 4096,6 TN CAPACIDADE DA TREMONHA (TOPO DA BRAÇOLA): 2893 M3 TUBO DE ARRASTO DE SUCÇÃO: 2 COM DIÂMETRO DE 711 MILÍMETROS TUBO DE DESCARGA PARA TREMONHA: DIÂMETRO DE 711 MILÍMETROS
		TUBO DE DESCARGA PARA A COSTA: DIÂMETRO DE 711 MILÍMETROS PROFUNDIDADE DE DRAGAGEM: 24,4 METROS VELOCIDADE MÁXIMA: 12,75 NÓS POTÊNCIA TOTAL INSTALADA DO DIESEL: 11739 KW MOTORES PRINCIPAIS:2 MOTORES À DIESEL GENERAL ELECTRIC DE 16 CILINDROS, TIPO 16V250MDB, CADA UM COM POTÊNCIA NOMINAL DE 4035 KW / 5412HP, A 1000 RPM, CADA UM ACIONANDO 1 HÉLICE DE PASSO FIXO POR MEIO DE UMA CAIXA DE REDUÇÃO MASON. GERADOR AUXILIAR:3 MOTORES CATERPILLAR À DIESEL DE 6 CILINDROS, TIPO CAT C18, POTÊNCIA NOMINAL DE 546,5 KW A 1.800 RPM, ACIONANDO 1 GERADOR.DE
		EMERGÊNCIA:1 MOTOR CATERPILLAR À DIESEL DE 8 CILINDROS, TIPO CAT 3408, POTÊNCIA NOMINAL DE 208 KW A 1.800 RPM, ACIONANDO 1 GERADOR.HÉLICES:2 HÉLICES DE PASSO CONTROLÁVEL DE BRONZE COM 4 PÁS.IMPULSOR DE PROA: 1 SCHOTTEL S-300-L, ACIONADO POR MOTOR DE 370 KW E HÉLICE DE PASSO FIXO EM TÚNEL.BOMBA DE DRAGAGEM: 2 BOMBAS GIW WBC 26X28-64, SINGLE WALLED, ACIONADAS PELO MOTOR PRINCIPAL POR MEIO DE UMA CAIXA DE REDUÇÃO. BOMBA DE RECALQUE: 1 BOMBA, SINGLE WALLED, VOSTA, TIPO IHC 175-37,5-75, ACIONADA POR UM MOTOR DIESEL DE 932KW/1258HP, 1800RPM
		CATERPILLAR 3512 DL-TA, ATRAVÉS DE UMA CAIXA DE REDUÇÃO STORK.BOMBAS DE ÁGUA A JATO:2 BOMBAS GIW LCC-H 250-660, ACIONADAS POR 1 GERADORÀ DIESEL CATERPILLAR 3512, 1652 KWCAPACIDADE DOS TANQUES:ÓLEO COMBUSTÍVEL: 1161,108 M³ ÓLEOS LUBRIFICANTES: 23,03 M³ ÁGUA DOCE: 125,65 T GUINDASTES DE CONVÉS: 1 GUINDASTE HIDRÁULICO APPLETON MARINE DE 3 TONELADAS, SWL (CARGA DE TRABALHO SEGURA) 990 KG 1 GUINDASTE HIDRÁULICO APPLETON MARINE DE 20 TONELADAS, SWL 990 KG ACOMODAÇÃO:A ACOMODAÇÃO É COMPOSTA POR 4 CONVESES.</t>
  </si>
  <si>
    <t>2316367940</t>
  </si>
  <si>
    <t>202300205397590</t>
  </si>
  <si>
    <t>GUINDASTE AUTOPROPULSADO SOBRE ESTEIRA, MARCA: MANITOWOC MODELO: M18000, CAPACIDADE DE ELEVAÇÃO: 750 TONELADAS, NÚMERO DE SÉRIE: 1800-1036, USADO ANO DE FABRICAÇÃO: 2007, COMPUTADORIZADO, ACIONADO POR MOTOR DIESEL
		, COM SUPERESTRUTURA, LANÇA PRINCIPAL, LANÇA MASTRO, SUPERLIFT MAXER COM TODOS OS ACESSÓRIOS PARA SEU FUNCIONAMENTO, PARCIALMENTE DESMONTADO PARA MANUSEIO E TRANSPORTE.</t>
  </si>
  <si>
    <t>21/08/2024 - Juntada efetuada_x000D_
21/08/2024 - Docs recebidos_x000D_
01/07/2024 - Numerario enviado, ag retorno_x000D_
26/06/2024 - Solicitado prorrogação por mais 12 meses_x000D_
25/06/2024 - Cobrado procedimento a ser adotado_x000D_
06/10/2023 - Processo incluido no controle</t>
  </si>
  <si>
    <t>2420073435</t>
  </si>
  <si>
    <t>202400252826140</t>
  </si>
  <si>
    <t>2425413366</t>
  </si>
  <si>
    <t>202400261377728</t>
  </si>
  <si>
    <t>COMBINACAO DE MAQUINAS PARA DESAERACAO (SEPARACAO DE FASES LIQUIDA E GASOSA) COM MEMBRANAS CONTATORAS CONTENDO 1 BOMBA CENTRIFUGA MONOBLOCO, 1 BOMBA DE VACUO, 1 GERADOR DE NITROGENIO, 1 COMPRESSOR DE AR, 1 REFIGERADOR PARA AR COMPRIMIDO. MEDIDOR
		DE VAZAO, PRESSOSTATO, SENSOR DE TEMPERATURA, TRANSMISSOR DE PRESSAO, ANALISADOR DE OXIGENIO DISSOLVIDO, VALVULAS DOS TIPOS ESFERA, BORBOLETA, SOLENOIDE E RETENCAO. 2 CARCACAS DE MEMBRANA, ONDE OS ELEMENTOS MECANICOS SAO INTERLIGADOS POR TUBULACOES
		DE PVC-U PODENDO SER COLADOS OU PARAFUSADOS E OS DISPOSITIVOS ELETRICOS SAO INTERLIGADOS ATRAVES DE CABOS A UM PAINEL CENTRAL.MONTADOS SOBRE UMA BASE (FRAME) METALICA QUE CONTA COM SUPORTES PARA ALGUNS ITENS, DISPOSTOS EM UMA MONTAGEM PERMANENTE ALOCADA EM CONTAINER PARA USO NA REMOCAO DE GASES DISSOLVIDOS EM AGUA DE PROCESSO DE PETROLIFERA. NÚMERO CONTAINER:JKCU101043722G1 ANO FABRICAÇÃO: 2016 - USADO.</t>
  </si>
  <si>
    <t>2319009484</t>
  </si>
  <si>
    <t>202300209954280</t>
  </si>
  <si>
    <t>18/09/2024 - Juntada efetuada_x000D_
16/09/2024 - Docs recebidos_x000D_
02/09/2024 - Numerario, RPR e TR enviados, ag retorno_x000D_
15/08/2024 - Solicitado prorrogaçao por mais 12 meses_x000D_
14/08/2024 - Cobrado procedimento a ser adotado_x000D_
19/10/2023 - Processo incluido no controle</t>
  </si>
  <si>
    <t>2321191189</t>
  </si>
  <si>
    <t>202300214163318</t>
  </si>
  <si>
    <t>21/10/2024 - Juntada efetuada_x000D_
15/10/2024 - Docs recebidos_x000D_
02/09/2024 - Numerario enviado, ag retorno_x000D_
22/08/2024 - Solicitado prorrogaçao por mais 12 meses_x000D_
22/08/2024 - Cobrado procedimento a ser adotado_x000D_
29/12/2023 - Processo incluido no controle</t>
  </si>
  <si>
    <t>2119807018</t>
  </si>
  <si>
    <t>202100116268220</t>
  </si>
  <si>
    <t>1802261224</t>
  </si>
  <si>
    <t>201800018565140</t>
  </si>
  <si>
    <t>31/01/2022 - Despacho Decisorio_x000D_
24/01/2022 - Juntada efetuada ao DOSSIE e E-CAC_x000D_
24/01/2022 - Docs recebidos_x000D_
11/01/2022 - Solicitado prorrogação por 48 meses (4 anos), aguardando retorno dos documentos_x000D_
13/12/2021 - Cobrado procedimento a ser adotado_x000D_
13/08/2021 - Despacho de encaminhamento_x000D_
22/02/2018 - Recebido Despacho Decisório - Venc. 09/02/2022_x000D_
20/02/2018 - Processo Incluso no controle</t>
  </si>
  <si>
    <t>2418067180</t>
  </si>
  <si>
    <t>202400249262029</t>
  </si>
  <si>
    <t>2310336557</t>
  </si>
  <si>
    <t>202400237510057</t>
  </si>
  <si>
    <t>EQUIPAMENTO PARA TESTES DE VIBRACOES EM BERCO MARITIMO DE AMARRACAO DE EMBARCACOES, MARCA: BOLLARDSCAN, COMPOSTO POR UNIDADE DE ROCESSAMENTO DE DADOS, CAMERA DIGITAL, SENSORES, CABEAMENTOS E CONECTORES. COM SOFTWARE INTEGRADO. EQUIPAMENTO SEMIDESMONTADO NAS SEGUINTES PARTES INDENTIFICADAS: BOLLARDSCAN ITENS NR(S): BOLL-LPT 001 / BOLMPAN 001 / BOLL MSOFF 001 / BOLLMPHW 002 / BOLL-ACC 622B01 /BOLL-MAG080A131 / BOLLCAB508BR01AC / BOLL-CCOUP 779680-01 /BOLL- COUPHOU 781425-01 / BOLL- HAM086D20 / BOLLHAMCA
		426-2094 / BOLL-DIGICAM. SERIAL NR(S): LAPTOP: CF53-SBWHDCA / DONGLE: 1645072556 / ACELEROMETROS: LW 067391 (R); LW 063161 (Y) E LW 067402 (B) / CABO DO ACOPLADOR: 1EDCDF1 / ACOPLADOR: 1EEC665 / HAMMER SN 47723 / PONTAS: NONE / CABO: NONE / CABO: NONE / CAMERA: VIVICAM090/ USADO / ANO DE FABRICAÇÃO: 2021.</t>
  </si>
  <si>
    <t>2225695775</t>
  </si>
  <si>
    <t>202200177701960</t>
  </si>
  <si>
    <t>2300245000</t>
  </si>
  <si>
    <t>202300178529346</t>
  </si>
  <si>
    <t>FORRAGEIRA AUTOPROPELIDA PARA SILAGEM COM POTÊNCIA DE 408CV/300 KW , CILINDRADA 11.900 CM3, MARCA DEUTZFAHR, MODELO GIGANT 400, NÚMERO DE SÉRIE 65-05-000117, USADA - ANO DE FABRICAÇÃO 1997.</t>
  </si>
  <si>
    <t>1102552358</t>
  </si>
  <si>
    <t>COLHEITADEIRA AUTOPROPELIDA PARA CEREAIS E FORRAGENS, USADA, MARCA: DEUTZ-FAHR MODELO: GIGANT 400, N DE SÉRIE: 65-05-000146, FABRICADA EM 1998.</t>
  </si>
  <si>
    <t>03/04/2023 - Despacho Decisorio_x000D_
29/03/2023 - Juntada efetuada no E-CAC_x000D_
07/03/2023 - Documentação recebida_x000D_
02/03/2023 - Informado que sera prorrogado por 52 meses, ag documentos, numerario revisado enviado_x000D_
10/02/2023 - Informado que será prorrogado por 40 meses, numerario enviado, ag retorno_x000D_
08/02/2023 - Cobrado procedimento a ser adotado_x000D_
15/03/2021 - Despacho_x000D_
10/03/2021 - Juntada feita pelo E-CAC_x000D_
17/02/2021 - Solicitado prorrogação por mais 24 meses, enviado Numerario, ag docs_x000D_
08/02/2021 - Cobrado procedimento a ser adotado_x000D_
08/08/2019 - Nova Concessão de Adm. Temporária_Venc. 08/04/2021._x000D_
06/06/2019 - Processo de admissão temporaria em andamento._x000D_
01/04/2019 - recebido copia da documentação para uma nova admissão temporaria._x000D_
18/01/2019 - COMUNICADO - CIÊNCIA ELETRÔNICA POR DECURSO DE PRAZO._x000D_
27/12/2018 - Processo deferido. Venc 14/05/2019 - PROCESSO JÁ ATINGIU OS 100 MESES._x000D_
26/12/2018- 6ª Prorrogação enviada para o faturamento_x000D_
21/12/2018 - Juntada Aceita._x000D_
20/12/2018 - Enviado pelo e-CAC o pedido de prorrogação._x000D_
17/12/2018 - Recebido o 6º aditivo e contrato de prestação original._x000D_
29/11/2018 - Enviada solicitação de numerario, aguardando documentação para prosseguir com a prorrogação por 4 meses._x000D_
23/11/2018 - Informado que pode ser prorrogado por 4 meses, aguardando documentação para prosseguir com a pororrogação._x000D_
22/11/2018 - Cobrado qual procedimento será adotado._x000D_
14/11/2018 - Cobrado qual procedimento será adotado._x000D_
26/12/2017 - Deferido pedido de Prorrogação - Venc.14/01/2019                                                     22/12/2017 - Recebido Aceite da Juntada - Ag. Analise da RFB_x000D_
22/12/2017 - Protocolado Pedido de Prorrogação - Ag. Aceite da Juntada_x000D_
25/02/16 - Recebido protocolo do pleito e deferimento_x000D_
22/01 - Protocolado pedido de prorrogação_x000D_
02/09 - Despacho decisório recebido_x000D_
22/01/2014 - Protocolado pedido de prorrogação, aguardando analise / deferimento do pedido;_x000D_
04/02- Despacho decisório recebido_x000D_
23/01/2014 - Protocolado pedido de prorrogação, aguardando analise / deferimento do pedido;_x000D_
13/02 - Deferido pedido de prorrogação;_x000D_
19/01 - Protocolado pedido de prorrogação, aguardando analise / deferimento do pedido;_x000D_
18/01 - Enviado pedido prorrogação ao EADI Santo André (Trovão);_x000D_
12/01 - Recebemos aditivo contratual, providenciando envio do pedido de prorrogação à Inspetoria;_x000D_
05/01 - Confirmada a remessa de numerario, providenciando pagamento dos DARFs;_x000D_
27/12 - Enviada solicitação de numerario_x000D_
15/11 - Confirmada prorrogação por 12 meses, providenciando calculo do processo;_x000D_
04/11 - Questionado a MEGASIL quanto ao procedimento a ser adotado para o processo;_x000D_
05/04/2011 - Prazo correto Concedido pela RFB  até 13/02/2012_x000D_
15/03/2011 - Prazo da Admissão concedido pela RFB  menor que o do Contrato  , estamos verificando como reverter junto a RFB de Santo Andre _x000D_
09/02/2011 - DI registrada, aguardando desembaraço</t>
  </si>
  <si>
    <t>1102548903</t>
  </si>
  <si>
    <t>COLHEITADEIRA AUTOPROPELIDA PARA CEREAIS E FORRAGENS, USADA, MARCA: DEUTZ-FAHR MODELO: GIGANT 400, N DE SÉRIE: 65-05-000074, FABRICADA EM 1996.</t>
  </si>
  <si>
    <t>25/04/2023 - Despacho Decisorio_x000D_
14/04/2023 - Resposta a intimação_x000D_
11/04/2023 - Intimação_x000D_
28/03/2023 - Juntada efetuada pelo E-CAC_x000D_
07/03/2023 - Recebido documentos_x000D_
02/03/2023 - Informado que sera prorrogado por 52 meses, ag documentos, numerario revisado enviado_x000D_
10/02/2023 - Informado que será prorrogado por 40 meses, numerario enviado, ag retorno_x000D_
08/02/2023 - Cobrado procedimento a ser adotado_x000D_
15/03/2021 - Despacho Decisorio_x000D_
10/03/2021 - Juntada efetuada no E-CAC_x000D_
17/02/2021 - Solicitado prorrogação por mais 24 meses, enviado Numerario, ag docs_x000D_
08/02/2021 - Cobrado Procedimento a ser adotado_x000D_
08/08/2019 - Nova Concessão de Adm. Temporária_Venc. 08/04/2021._x000D_
06/06/2019 - Processo de admissão temporaria em andamento._x000D_
01/04/2019 - recebido copia da documentação para uma nova admissão temporaria._x000D_
27/12/2018 - Processo deferido. Venc 14/05/2019. PROCESSO JÁ ATINGIU OS 100 MESES._x000D_
26/12/2018- 6ª Prorrogação enviada para o faturamento_x000D_
20/12/2018 - Juntada aceita._x000D_
20/12/2018 - Enviado pelo e-CAC o pedido de prorrogação._x000D_
17/12/2018 - Recebido o 6º aditivo e contrato de prestação original._x000D_
29/11/2018 - Enviada solicitação de numerario, aguardando documentação para prosseguir com a prorrogação por 4 meses._x000D_
23/11/2018 - Informado que pode ser prorrogado por 4 meses, aguardando documentação para prosseguir com a pororrogação._x000D_
22/11/2018 - Cobrado qual procedimento será adotado._x000D_
14/11/2018 - Cobrado qual procedimento será adotado. Recebido os modelos de contrato._x000D_
26/12/2017 - Deferido pedido de Prorrogação - Venc.14/01/2019                                                   22/12/2017 - Recebido Aceite da Juntada - Ag. Analise da RFB_x000D_
22/12/2017 - Protocolado Pedido de Prorrogação - Ag. Aceite da Juntada_x000D_
25/02/16 - Despacho decisório recebido_x000D_
11/02/2016 - Recebido descho decisório de deferimento pleito prorrogação_x000D_
12/01/2016 - Protocolado pedido de prorrogação_x000D_
11/09 - Despacho decisório recebido_x000D_
05/02/2014 - Protocolado pedido de prorrogação, aguardando analise / deferimento do pedido;_x000D_
13/02 - Deferido pedido de prorrogação;_x000D_
19/01 - Protocolado pedido de prorrogação, aguardando analise / deferimento do pedido;_x000D_
18/01 - Enviado pedido prorrogação ao EADI Santo André (Trovão);_x000D_
12/01 - Recebemos aditivo contratual, providenciando envio do pedido de prorrogação à Inspetoria;_x000D_
05/01 - Confirmada a remessa de numerario, providenciando pagamento dos DARFs;_x000D_
27/12 - Enviada solicitação de numerario;_x000D_
15/11 - Confirmada prorrogação por 12 meses, providenciando calculo do processo;_x000D_
04/11 - Questionado a MEGASIL quanto ao procedimento a ser adotado para o processo;_x000D_
05/04/2011 - Prazo correto Concedido pela RFB  até 13/02/2012_x000D_
15/03/2011 - Prazo da Admissão concedido pela RFB  menor que o do Contrato  , estamos verificando como reverter junto a RFB de Santo Andre _x000D_
09/02/2011 - DI registrada, aguardando desembaraço</t>
  </si>
  <si>
    <t>1919661001</t>
  </si>
  <si>
    <t>201900055854940</t>
  </si>
  <si>
    <t>28/11/2023 - Despacho Decisorio_x000D_
14/11/2023 - Juntada efetuada_x000D_
03/10/2023 - Docs recebidos_x000D_
02/10/2023 - Enviado Nunerario e RPR, ag retorno_x000D_
29/09/2023 - Cobrado procedimento a ser adotado, informado que será prorrogado por mais 48 meses_x000D_
13/08/2021 - Despacho de Encaminhamento_x000D_
25/11/2019 - Despacho de Encaminhamento_x000D_
12/11/2019 - Processo incluido no controle</t>
  </si>
  <si>
    <t>2323396780</t>
  </si>
  <si>
    <t>202300217735169</t>
  </si>
  <si>
    <t>2323376321</t>
  </si>
  <si>
    <t>202300217734367</t>
  </si>
  <si>
    <t>2417609524</t>
  </si>
  <si>
    <t>202400248810936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</si>
</sst>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16]d\-mmm\-yy;@"/>
    <numFmt numFmtId="165" formatCode="[&lt;=9999999999]&quot;&quot;00&quot;/&quot;0000000\-0;[&gt;9999999999]&quot;&quot;00&quot;BR&quot;000000000\-0"/>
    <numFmt numFmtId="166" formatCode="[Red]&quot;&quot;000&quot;.&quot;000&quot;.&quot;000&quot;.&quot;000&quot;.&quot;000"/>
    <numFmt numFmtId="167" formatCode="&quot;&quot;00&quot;.&quot;000&quot;.&quot;000&quot;/&quot;0000\-00"/>
    <numFmt numFmtId="168" formatCode="&quot;&quot;00000000000000\-0"/>
    <numFmt numFmtId="169" formatCode="000000000000000"/>
    <numFmt numFmtId="170" formatCode="yyyy\-mm\-dd;@"/>
    <numFmt numFmtId="171" formatCode="00000000000000"/>
  </numFmts>
  <fonts count="15" x14ac:knownFonts="1">
    <font>
      <sz val="11"/>
      <color theme="1"/>
      <name val="Calibri"/>
      <family val="2"/>
      <scheme val="minor"/>
    </font>
    <font>
      <u/>
      <sz val="11"/>
      <color theme="10"/>
      <name val="Calibri"/>
      <family val="2"/>
      <scheme val="minor"/>
    </font>
    <font>
      <b/>
      <sz val="9"/>
      <name val="Arial"/>
      <family val="2"/>
    </font>
    <font>
      <b/>
      <sz val="8"/>
      <name val="Arial"/>
      <family val="2"/>
    </font>
    <font>
      <b/>
      <sz val="9"/>
      <color indexed="10"/>
      <name val="Arial"/>
      <family val="2"/>
    </font>
    <font>
      <b/>
      <sz val="9"/>
      <color indexed="56"/>
      <name val="Arial"/>
      <family val="2"/>
    </font>
    <font>
      <b/>
      <sz val="10"/>
      <name val="Arial"/>
      <family val="2"/>
    </font>
    <font>
      <sz val="8"/>
      <name val="Arial"/>
      <family val="2"/>
    </font>
    <font>
      <sz val="8"/>
      <color rgb="FFFF0000"/>
      <name val="Arial"/>
      <family val="2"/>
    </font>
    <font>
      <sz val="8"/>
      <color rgb="FF0000FF"/>
      <name val="Arial"/>
      <family val="2"/>
    </font>
    <font>
      <sz val="8"/>
      <color theme="6" tint="-0.499984740745262"/>
      <name val="Arial"/>
      <family val="2"/>
    </font>
    <font>
      <b/>
      <sz val="9"/>
      <name val="Verdana"/>
      <family val="2"/>
    </font>
    <font>
      <sz val="8"/>
      <name val="Verdana"/>
      <family val="2"/>
    </font>
    <font>
      <sz val="8"/>
      <color indexed="10"/>
      <name val="Arial"/>
      <family val="2"/>
    </font>
    <font>
      <sz val="10"/>
      <name val="Arial"/>
      <family val="2"/>
    </font>
  </fonts>
  <fills count="7">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23">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 fillId="2" borderId="1" xfId="0" applyFont="1" applyFill="1" applyBorder="1" applyAlignment="1">
      <alignment horizontal="center" vertical="center" wrapText="1"/>
    </xf>
    <xf numFmtId="164" fontId="4" fillId="2" borderId="1" xfId="0" applyNumberFormat="1" applyFont="1" applyFill="1" applyBorder="1" applyAlignment="1">
      <alignment horizontal="center" vertical="center"/>
    </xf>
    <xf numFmtId="164" fontId="5"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4" borderId="3" xfId="0" applyFont="1" applyFill="1" applyBorder="1" applyAlignment="1">
      <alignment horizontal="center" vertical="center" wrapText="1"/>
    </xf>
    <xf numFmtId="165" fontId="7" fillId="4" borderId="3" xfId="0" applyNumberFormat="1" applyFont="1" applyFill="1" applyBorder="1" applyAlignment="1">
      <alignment horizontal="center" vertical="center" wrapText="1"/>
    </xf>
    <xf numFmtId="0" fontId="1" fillId="4" borderId="3" xfId="1" applyFill="1" applyBorder="1" applyAlignment="1" applyProtection="1">
      <alignment horizontal="center" vertical="center" wrapText="1"/>
    </xf>
    <xf numFmtId="0" fontId="8" fillId="4" borderId="3" xfId="0" applyFont="1" applyFill="1" applyBorder="1" applyAlignment="1">
      <alignment horizontal="center" vertical="center" wrapText="1"/>
    </xf>
    <xf numFmtId="166" fontId="8" fillId="0" borderId="3" xfId="0" applyNumberFormat="1" applyFont="1" applyBorder="1" applyAlignment="1">
      <alignment horizontal="center" vertical="center" wrapText="1"/>
    </xf>
    <xf numFmtId="164" fontId="8" fillId="0" borderId="3" xfId="0" applyNumberFormat="1" applyFont="1" applyBorder="1" applyAlignment="1">
      <alignment horizontal="center" vertical="center"/>
    </xf>
    <xf numFmtId="164" fontId="9" fillId="4" borderId="1" xfId="0" applyNumberFormat="1" applyFont="1" applyFill="1" applyBorder="1" applyAlignment="1">
      <alignment horizontal="center" vertical="center" wrapText="1"/>
    </xf>
    <xf numFmtId="0" fontId="3" fillId="4" borderId="3" xfId="0" applyFont="1" applyFill="1" applyBorder="1" applyAlignment="1">
      <alignment horizontal="center" vertical="center" wrapText="1"/>
    </xf>
    <xf numFmtId="0" fontId="7" fillId="4" borderId="3" xfId="0" applyFont="1" applyFill="1" applyBorder="1" applyAlignment="1">
      <alignment horizontal="left" vertical="top" wrapText="1"/>
    </xf>
    <xf numFmtId="164" fontId="10" fillId="4" borderId="3" xfId="0" applyNumberFormat="1" applyFont="1" applyFill="1" applyBorder="1" applyAlignment="1">
      <alignment horizontal="center" vertical="center" wrapText="1"/>
    </xf>
    <xf numFmtId="14" fontId="7" fillId="4" borderId="3" xfId="0" applyNumberFormat="1" applyFont="1" applyFill="1" applyBorder="1" applyAlignment="1">
      <alignment horizontal="center" vertical="center" wrapText="1"/>
    </xf>
    <xf numFmtId="0" fontId="7" fillId="5" borderId="2" xfId="0" applyFont="1" applyFill="1" applyBorder="1" applyAlignment="1">
      <alignment horizontal="center" vertical="center" wrapText="1"/>
    </xf>
    <xf numFmtId="167" fontId="11" fillId="0" borderId="3" xfId="0" applyNumberFormat="1" applyFont="1" applyBorder="1" applyAlignment="1">
      <alignment horizontal="center" vertical="center" wrapText="1"/>
    </xf>
    <xf numFmtId="49" fontId="12" fillId="0" borderId="3" xfId="0" applyNumberFormat="1" applyFont="1" applyBorder="1" applyAlignment="1">
      <alignment horizontal="center" vertical="center"/>
    </xf>
    <xf numFmtId="168" fontId="12" fillId="0" borderId="3" xfId="0" applyNumberFormat="1" applyFont="1" applyBorder="1" applyAlignment="1">
      <alignment horizontal="center" vertical="center"/>
    </xf>
    <xf numFmtId="14" fontId="12" fillId="0" borderId="3" xfId="0" applyNumberFormat="1" applyFont="1" applyBorder="1" applyAlignment="1">
      <alignment horizontal="center" vertical="center"/>
    </xf>
    <xf numFmtId="14" fontId="7" fillId="0" borderId="3" xfId="0" applyNumberFormat="1" applyFont="1" applyBorder="1" applyAlignment="1">
      <alignment horizontal="left" vertical="top" wrapText="1"/>
    </xf>
    <xf numFmtId="0" fontId="7" fillId="4" borderId="3" xfId="0" applyFont="1" applyFill="1" applyBorder="1" applyAlignment="1">
      <alignment horizontal="center" vertical="center"/>
    </xf>
    <xf numFmtId="165" fontId="7" fillId="4" borderId="3" xfId="0" applyNumberFormat="1" applyFont="1" applyFill="1" applyBorder="1" applyAlignment="1">
      <alignment horizontal="center" vertical="center"/>
    </xf>
    <xf numFmtId="0" fontId="1" fillId="4" borderId="3" xfId="1" applyFill="1" applyBorder="1" applyAlignment="1" applyProtection="1">
      <alignment horizontal="center" vertical="center"/>
    </xf>
    <xf numFmtId="0" fontId="13" fillId="4" borderId="3" xfId="0" applyFont="1" applyFill="1" applyBorder="1" applyAlignment="1">
      <alignment horizontal="center" vertical="center" wrapText="1"/>
    </xf>
    <xf numFmtId="166" fontId="8" fillId="4" borderId="3" xfId="0" applyNumberFormat="1" applyFont="1" applyFill="1" applyBorder="1" applyAlignment="1">
      <alignment horizontal="center" vertical="center"/>
    </xf>
    <xf numFmtId="0" fontId="7" fillId="0" borderId="3" xfId="0" applyFont="1" applyBorder="1" applyAlignment="1">
      <alignment vertical="center" wrapText="1"/>
    </xf>
    <xf numFmtId="164" fontId="10" fillId="0" borderId="3" xfId="0" applyNumberFormat="1" applyFont="1" applyBorder="1" applyAlignment="1">
      <alignment horizontal="center" vertical="center" wrapText="1"/>
    </xf>
    <xf numFmtId="14" fontId="7" fillId="4" borderId="3" xfId="0" applyNumberFormat="1" applyFont="1" applyFill="1" applyBorder="1" applyAlignment="1">
      <alignment horizontal="center" vertical="center"/>
    </xf>
    <xf numFmtId="167" fontId="11" fillId="0" borderId="3" xfId="0" applyNumberFormat="1" applyFont="1" applyBorder="1" applyAlignment="1">
      <alignment horizontal="center" vertical="center"/>
    </xf>
    <xf numFmtId="0" fontId="7" fillId="5" borderId="3" xfId="0" applyFont="1" applyFill="1" applyBorder="1" applyAlignment="1">
      <alignment horizontal="center" vertical="center"/>
    </xf>
    <xf numFmtId="0" fontId="1" fillId="5" borderId="3" xfId="1" applyFill="1" applyBorder="1" applyAlignment="1" applyProtection="1">
      <alignment horizontal="center" vertical="center"/>
    </xf>
    <xf numFmtId="166" fontId="13" fillId="4" borderId="3" xfId="0" applyNumberFormat="1" applyFont="1" applyFill="1" applyBorder="1" applyAlignment="1">
      <alignment horizontal="center" vertical="center" wrapText="1"/>
    </xf>
    <xf numFmtId="0" fontId="7" fillId="4" borderId="3" xfId="0" applyFont="1" applyFill="1" applyBorder="1" applyAlignment="1">
      <alignment vertical="top" wrapText="1"/>
    </xf>
    <xf numFmtId="0" fontId="7" fillId="4" borderId="4" xfId="0" applyFont="1" applyFill="1" applyBorder="1" applyAlignment="1">
      <alignment horizontal="center" vertical="center"/>
    </xf>
    <xf numFmtId="0" fontId="7" fillId="4" borderId="1" xfId="0" applyFont="1" applyFill="1" applyBorder="1" applyAlignment="1">
      <alignment horizontal="center" vertical="center"/>
    </xf>
    <xf numFmtId="165" fontId="7" fillId="4" borderId="1" xfId="0" applyNumberFormat="1" applyFont="1" applyFill="1" applyBorder="1" applyAlignment="1">
      <alignment horizontal="center" vertical="center"/>
    </xf>
    <xf numFmtId="0" fontId="1" fillId="4" borderId="1" xfId="1" applyFill="1" applyBorder="1" applyAlignment="1" applyProtection="1">
      <alignment horizontal="center" vertical="center"/>
    </xf>
    <xf numFmtId="0" fontId="7"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166" fontId="8" fillId="4" borderId="1" xfId="0" applyNumberFormat="1" applyFont="1" applyFill="1" applyBorder="1" applyAlignment="1">
      <alignment horizontal="center" vertical="center"/>
    </xf>
    <xf numFmtId="164" fontId="8" fillId="0" borderId="1" xfId="0" applyNumberFormat="1" applyFont="1" applyBorder="1" applyAlignment="1">
      <alignment horizontal="center" vertical="center"/>
    </xf>
    <xf numFmtId="0" fontId="3" fillId="4" borderId="1" xfId="0" applyFont="1" applyFill="1" applyBorder="1" applyAlignment="1">
      <alignment horizontal="center" vertical="center" wrapText="1"/>
    </xf>
    <xf numFmtId="0" fontId="7" fillId="0" borderId="1" xfId="0" applyFont="1" applyBorder="1" applyAlignment="1">
      <alignment vertical="center" wrapText="1"/>
    </xf>
    <xf numFmtId="164" fontId="10" fillId="0" borderId="1" xfId="0" applyNumberFormat="1" applyFont="1" applyBorder="1" applyAlignment="1">
      <alignment horizontal="center" vertical="center" wrapText="1"/>
    </xf>
    <xf numFmtId="14" fontId="7" fillId="4" borderId="1" xfId="0" applyNumberFormat="1" applyFont="1" applyFill="1" applyBorder="1" applyAlignment="1">
      <alignment horizontal="center" vertical="center"/>
    </xf>
    <xf numFmtId="14" fontId="7" fillId="4" borderId="1" xfId="0" applyNumberFormat="1" applyFont="1" applyFill="1" applyBorder="1" applyAlignment="1">
      <alignment horizontal="center" vertical="center" wrapText="1"/>
    </xf>
    <xf numFmtId="167" fontId="11" fillId="0" borderId="1" xfId="0" applyNumberFormat="1" applyFont="1" applyBorder="1" applyAlignment="1">
      <alignment horizontal="center" vertical="center"/>
    </xf>
    <xf numFmtId="49" fontId="12" fillId="0" borderId="1" xfId="0" applyNumberFormat="1" applyFont="1" applyBorder="1" applyAlignment="1">
      <alignment horizontal="center" vertical="center"/>
    </xf>
    <xf numFmtId="168" fontId="12" fillId="0" borderId="1" xfId="0" applyNumberFormat="1" applyFont="1" applyBorder="1" applyAlignment="1">
      <alignment horizontal="center" vertical="center"/>
    </xf>
    <xf numFmtId="0" fontId="7" fillId="4"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5" borderId="4" xfId="0" applyFont="1" applyFill="1" applyBorder="1" applyAlignment="1">
      <alignment horizontal="center" vertical="center" wrapText="1"/>
    </xf>
    <xf numFmtId="164" fontId="8" fillId="6" borderId="1" xfId="0" applyNumberFormat="1" applyFont="1" applyFill="1" applyBorder="1" applyAlignment="1">
      <alignment horizontal="center" vertical="center"/>
    </xf>
    <xf numFmtId="164" fontId="9" fillId="4" borderId="3" xfId="0" applyNumberFormat="1" applyFont="1" applyFill="1" applyBorder="1" applyAlignment="1">
      <alignment horizontal="center" vertical="center" wrapText="1"/>
    </xf>
    <xf numFmtId="0" fontId="7" fillId="0" borderId="3" xfId="0" applyFont="1" applyBorder="1" applyAlignment="1">
      <alignment horizontal="left" vertical="top" wrapText="1"/>
    </xf>
    <xf numFmtId="0" fontId="7" fillId="0" borderId="1" xfId="0" applyFont="1" applyBorder="1" applyAlignment="1">
      <alignment vertical="top" wrapText="1"/>
    </xf>
    <xf numFmtId="164" fontId="8" fillId="4" borderId="3" xfId="0" applyNumberFormat="1" applyFont="1" applyFill="1" applyBorder="1" applyAlignment="1">
      <alignment horizontal="center" vertical="center"/>
    </xf>
    <xf numFmtId="0" fontId="7" fillId="4" borderId="1" xfId="0" applyFont="1" applyFill="1" applyBorder="1" applyAlignment="1">
      <alignment vertical="center" wrapText="1"/>
    </xf>
    <xf numFmtId="164" fontId="10" fillId="4" borderId="1" xfId="0" applyNumberFormat="1" applyFont="1" applyFill="1" applyBorder="1" applyAlignment="1">
      <alignment horizontal="center" vertical="center" wrapText="1"/>
    </xf>
    <xf numFmtId="4" fontId="7" fillId="5" borderId="2" xfId="0" applyNumberFormat="1" applyFont="1" applyFill="1" applyBorder="1" applyAlignment="1">
      <alignment horizontal="center" vertical="center" wrapText="1"/>
    </xf>
    <xf numFmtId="167" fontId="11" fillId="4" borderId="1" xfId="0" applyNumberFormat="1" applyFont="1" applyFill="1" applyBorder="1" applyAlignment="1">
      <alignment horizontal="center" vertical="center"/>
    </xf>
    <xf numFmtId="49" fontId="12" fillId="4" borderId="3" xfId="0" applyNumberFormat="1" applyFont="1" applyFill="1" applyBorder="1" applyAlignment="1">
      <alignment horizontal="center" vertical="center"/>
    </xf>
    <xf numFmtId="168" fontId="12" fillId="4" borderId="3" xfId="0" applyNumberFormat="1" applyFont="1" applyFill="1" applyBorder="1" applyAlignment="1">
      <alignment horizontal="center" vertical="center"/>
    </xf>
    <xf numFmtId="14" fontId="12" fillId="4" borderId="3" xfId="0" applyNumberFormat="1" applyFont="1" applyFill="1" applyBorder="1" applyAlignment="1">
      <alignment horizontal="center" vertical="center"/>
    </xf>
    <xf numFmtId="164" fontId="8" fillId="4" borderId="1" xfId="0" applyNumberFormat="1" applyFont="1" applyFill="1" applyBorder="1" applyAlignment="1">
      <alignment horizontal="center" vertical="center"/>
    </xf>
    <xf numFmtId="49" fontId="12" fillId="4" borderId="1" xfId="0" applyNumberFormat="1" applyFont="1" applyFill="1" applyBorder="1" applyAlignment="1">
      <alignment horizontal="center" vertical="center"/>
    </xf>
    <xf numFmtId="168" fontId="12" fillId="4" borderId="1" xfId="0" applyNumberFormat="1" applyFont="1" applyFill="1" applyBorder="1" applyAlignment="1">
      <alignment horizontal="center" vertical="center"/>
    </xf>
    <xf numFmtId="165" fontId="7" fillId="4" borderId="1" xfId="0" applyNumberFormat="1" applyFont="1" applyFill="1" applyBorder="1" applyAlignment="1">
      <alignment horizontal="center" vertical="center" wrapText="1"/>
    </xf>
    <xf numFmtId="0" fontId="1" fillId="4" borderId="1" xfId="1" applyFill="1" applyBorder="1" applyAlignment="1" applyProtection="1">
      <alignment horizontal="center" vertical="center" wrapText="1"/>
    </xf>
    <xf numFmtId="0" fontId="8" fillId="4" borderId="1" xfId="0" applyFont="1" applyFill="1" applyBorder="1" applyAlignment="1">
      <alignment horizontal="center" vertical="center" wrapText="1"/>
    </xf>
    <xf numFmtId="166" fontId="8" fillId="0" borderId="1" xfId="0" applyNumberFormat="1" applyFont="1" applyBorder="1" applyAlignment="1">
      <alignment horizontal="center" vertical="center" wrapText="1"/>
    </xf>
    <xf numFmtId="167" fontId="11" fillId="0" borderId="1" xfId="0" applyNumberFormat="1" applyFont="1" applyBorder="1" applyAlignment="1">
      <alignment horizontal="center" vertical="center" wrapText="1"/>
    </xf>
    <xf numFmtId="14" fontId="7" fillId="0" borderId="1" xfId="0" applyNumberFormat="1" applyFont="1" applyBorder="1" applyAlignment="1">
      <alignment horizontal="left" vertical="top" wrapText="1"/>
    </xf>
    <xf numFmtId="165" fontId="7" fillId="0" borderId="1" xfId="0" applyNumberFormat="1" applyFont="1" applyBorder="1" applyAlignment="1">
      <alignment horizontal="center" vertical="center"/>
    </xf>
    <xf numFmtId="0" fontId="1" fillId="5" borderId="1" xfId="1" applyFill="1" applyBorder="1" applyAlignment="1" applyProtection="1">
      <alignment horizontal="center" vertical="center" wrapText="1"/>
    </xf>
    <xf numFmtId="0" fontId="7" fillId="0" borderId="1" xfId="0" applyFont="1" applyBorder="1" applyAlignment="1">
      <alignment horizontal="center" vertical="center" wrapText="1"/>
    </xf>
    <xf numFmtId="0" fontId="13" fillId="0" borderId="1" xfId="0" applyFont="1" applyBorder="1" applyAlignment="1">
      <alignment horizontal="center" vertical="center" wrapText="1"/>
    </xf>
    <xf numFmtId="166" fontId="13" fillId="0" borderId="1" xfId="0" quotePrefix="1" applyNumberFormat="1" applyFont="1" applyBorder="1" applyAlignment="1">
      <alignment horizontal="center" vertical="center" wrapText="1"/>
    </xf>
    <xf numFmtId="164" fontId="10" fillId="4" borderId="1" xfId="0" applyNumberFormat="1" applyFont="1" applyFill="1" applyBorder="1" applyAlignment="1">
      <alignment horizontal="center" vertical="center"/>
    </xf>
    <xf numFmtId="14" fontId="7" fillId="0" borderId="1" xfId="0" applyNumberFormat="1" applyFont="1" applyBorder="1" applyAlignment="1">
      <alignment horizontal="center" vertical="center"/>
    </xf>
    <xf numFmtId="0" fontId="7" fillId="0" borderId="2" xfId="0" applyFont="1" applyBorder="1" applyAlignment="1">
      <alignment horizontal="center" vertical="center" wrapText="1"/>
    </xf>
    <xf numFmtId="49" fontId="12" fillId="5" borderId="1" xfId="0" applyNumberFormat="1" applyFont="1" applyFill="1" applyBorder="1" applyAlignment="1">
      <alignment horizontal="center" vertical="center"/>
    </xf>
    <xf numFmtId="0" fontId="14" fillId="0" borderId="1" xfId="0" applyFont="1" applyBorder="1" applyAlignment="1">
      <alignment vertical="top" wrapText="1"/>
    </xf>
    <xf numFmtId="0" fontId="7" fillId="5" borderId="1" xfId="0" applyFont="1" applyFill="1" applyBorder="1" applyAlignment="1">
      <alignment horizontal="center" vertical="center"/>
    </xf>
    <xf numFmtId="0" fontId="1" fillId="5" borderId="1" xfId="1" applyFill="1" applyBorder="1" applyAlignment="1" applyProtection="1">
      <alignment horizontal="center" vertical="center"/>
    </xf>
    <xf numFmtId="166" fontId="13" fillId="4" borderId="1" xfId="0" applyNumberFormat="1" applyFont="1" applyFill="1" applyBorder="1" applyAlignment="1">
      <alignment horizontal="center" vertical="center" wrapText="1"/>
    </xf>
    <xf numFmtId="0" fontId="7" fillId="4" borderId="1" xfId="0" applyFont="1" applyFill="1" applyBorder="1" applyAlignment="1">
      <alignment vertical="top" wrapText="1"/>
    </xf>
    <xf numFmtId="0" fontId="7" fillId="4" borderId="2" xfId="0" applyFont="1" applyFill="1" applyBorder="1" applyAlignment="1">
      <alignment horizontal="center" vertical="center"/>
    </xf>
    <xf numFmtId="14" fontId="12" fillId="0" borderId="1" xfId="0" applyNumberFormat="1" applyFont="1" applyBorder="1" applyAlignment="1">
      <alignment horizontal="center" vertical="center"/>
    </xf>
    <xf numFmtId="166" fontId="13" fillId="0" borderId="1" xfId="0" applyNumberFormat="1" applyFont="1" applyBorder="1" applyAlignment="1">
      <alignment horizontal="center" vertical="center" wrapText="1"/>
    </xf>
    <xf numFmtId="4" fontId="7" fillId="0" borderId="1" xfId="0" applyNumberFormat="1" applyFont="1" applyBorder="1" applyAlignment="1">
      <alignment horizontal="center" vertical="center"/>
    </xf>
    <xf numFmtId="0" fontId="7" fillId="5" borderId="1" xfId="0" applyFont="1" applyFill="1" applyBorder="1" applyAlignment="1">
      <alignment horizontal="center" vertical="center" wrapText="1"/>
    </xf>
    <xf numFmtId="4" fontId="7" fillId="5" borderId="1" xfId="0" applyNumberFormat="1" applyFont="1" applyFill="1" applyBorder="1" applyAlignment="1">
      <alignment horizontal="center" vertical="center" wrapText="1"/>
    </xf>
    <xf numFmtId="167" fontId="11" fillId="4" borderId="3" xfId="0" applyNumberFormat="1" applyFont="1" applyFill="1" applyBorder="1" applyAlignment="1">
      <alignment horizontal="center" vertical="center"/>
    </xf>
    <xf numFmtId="14" fontId="7" fillId="4" borderId="3" xfId="0" applyNumberFormat="1" applyFont="1" applyFill="1" applyBorder="1" applyAlignment="1">
      <alignment horizontal="left" vertical="top" wrapText="1"/>
    </xf>
    <xf numFmtId="164" fontId="10" fillId="4" borderId="3" xfId="0" applyNumberFormat="1" applyFont="1" applyFill="1" applyBorder="1" applyAlignment="1">
      <alignment horizontal="center" vertical="center"/>
    </xf>
    <xf numFmtId="0" fontId="7" fillId="0" borderId="2" xfId="0" applyFont="1" applyBorder="1" applyAlignment="1">
      <alignment vertical="center" wrapText="1"/>
    </xf>
    <xf numFmtId="0" fontId="7" fillId="5" borderId="5" xfId="0" applyFont="1" applyFill="1" applyBorder="1" applyAlignment="1">
      <alignment horizontal="center" vertical="center" wrapText="1"/>
    </xf>
    <xf numFmtId="4" fontId="7" fillId="5" borderId="5" xfId="0" applyNumberFormat="1" applyFont="1" applyFill="1" applyBorder="1" applyAlignment="1">
      <alignment horizontal="center" vertical="center" wrapText="1"/>
    </xf>
    <xf numFmtId="0" fontId="8" fillId="4" borderId="1" xfId="0" applyFont="1" applyFill="1" applyBorder="1" applyAlignment="1">
      <alignment horizontal="center" vertical="center"/>
    </xf>
    <xf numFmtId="166" fontId="8" fillId="0" borderId="1" xfId="0" applyNumberFormat="1" applyFont="1" applyBorder="1" applyAlignment="1">
      <alignment horizontal="center" vertical="center"/>
    </xf>
    <xf numFmtId="0" fontId="7" fillId="4" borderId="2" xfId="0" applyFont="1" applyFill="1" applyBorder="1" applyAlignment="1">
      <alignment vertical="center" wrapText="1"/>
    </xf>
    <xf numFmtId="0" fontId="7" fillId="4" borderId="2" xfId="0" applyFont="1" applyFill="1" applyBorder="1" applyAlignment="1">
      <alignment vertical="top" wrapText="1"/>
    </xf>
    <xf numFmtId="0" fontId="7" fillId="4" borderId="5" xfId="0" applyFont="1" applyFill="1" applyBorder="1" applyAlignment="1">
      <alignment horizontal="center" vertical="center"/>
    </xf>
    <xf numFmtId="49" fontId="0" fillId="0" borderId="0" xfId="0" applyNumberFormat="1"/>
    <xf numFmtId="14" fontId="0" fillId="0" borderId="0" xfId="0" applyNumberFormat="1"/>
    <xf numFmtId="0" fontId="0" fillId="0" borderId="0" xfId="0" applyAlignment="1">
      <alignment horizontal="center"/>
    </xf>
    <xf numFmtId="169" fontId="0" fillId="0" borderId="0" xfId="0" applyNumberFormat="1"/>
    <xf numFmtId="170" fontId="0" fillId="0" borderId="0" xfId="0" applyNumberFormat="1"/>
    <xf numFmtId="1" fontId="0" fillId="0" borderId="0" xfId="0" applyNumberFormat="1" applyAlignment="1">
      <alignment horizontal="center"/>
    </xf>
    <xf numFmtId="171" fontId="0" fillId="0" borderId="0" xfId="0" applyNumberFormat="1"/>
    <xf numFmtId="165" fontId="0" fillId="0" borderId="0" xfId="0" applyNumberFormat="1"/>
    <xf numFmtId="22" fontId="0" fillId="0" borderId="0" xfId="0" applyNumberFormat="1"/>
  </cellXfs>
  <cellStyles count="2">
    <cellStyle name="Hiperlink" xfId="1" builtinId="8"/>
    <cellStyle name="Normal" xfId="0" builtinId="0"/>
  </cellStyles>
  <dxfs count="49">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dxf>
    <dxf>
      <font>
        <b/>
        <i val="0"/>
        <color theme="1"/>
      </font>
      <fill>
        <patternFill>
          <bgColor rgb="FFC00000"/>
        </patternFill>
      </fill>
    </dxf>
    <dxf>
      <font>
        <b/>
        <i val="0"/>
        <color theme="1"/>
      </font>
      <fill>
        <patternFill>
          <bgColor rgb="FFC00000"/>
        </patternFill>
      </fill>
    </dxf>
    <dxf>
      <font>
        <b/>
        <i val="0"/>
        <color theme="1"/>
      </font>
      <fill>
        <patternFill>
          <bgColor rgb="FFC00000"/>
        </patternFill>
      </fill>
    </dxf>
    <dxf>
      <fill>
        <patternFill>
          <bgColor rgb="FFFFFF00"/>
        </patternFill>
      </fill>
    </dxf>
    <dxf>
      <font>
        <b/>
        <i val="0"/>
        <color theme="1"/>
      </font>
      <fill>
        <patternFill>
          <bgColor rgb="FFC00000"/>
        </patternFill>
      </fill>
    </dxf>
    <dxf>
      <font>
        <color rgb="FFFF0000"/>
      </font>
    </dxf>
    <dxf>
      <fill>
        <patternFill>
          <bgColor theme="0" tint="-0.34998626667073579"/>
        </patternFill>
      </fil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BCE1186D-3A78-4C24-BE59-3903DE8AA735}" autoFormatId="16" applyNumberFormats="0" applyBorderFormats="0" applyFontFormats="0" applyPatternFormats="0" applyAlignmentFormats="0" applyWidthHeightFormats="0">
  <queryTableRefresh nextId="17">
    <queryTableFields count="16">
      <queryTableField id="1" name="iDeclaracaoID" tableColumnId="1"/>
      <queryTableField id="2" name="cNumeroDeclaracao" tableColumnId="2"/>
      <queryTableField id="3" name="iCNPJID" tableColumnId="3"/>
      <queryTableField id="4" name="cReferenciaBraslog" tableColumnId="4"/>
      <queryTableField id="5" name="cReferenciaCliente" tableColumnId="5"/>
      <queryTableField id="6" name="dDataRegistroDeclaracao" tableColumnId="6"/>
      <queryTableField id="7" name="dDataDesembaracoDeclaracao" tableColumnId="7"/>
      <queryTableField id="8" name="iCEID" tableColumnId="8"/>
      <queryTableField id="9" name="iRecintoID" tableColumnId="9"/>
      <queryTableField id="10" name="cNumeroDOSSIE" tableColumnId="10"/>
      <queryTableField id="11" name="cNumeroProcessoAdministrativo" tableColumnId="11"/>
      <queryTableField id="12" name="iContratoID" tableColumnId="12"/>
      <queryTableField id="13" name="iApoliceID" tableColumnId="13"/>
      <queryTableField id="14" name="cModal" tableColumnId="14"/>
      <queryTableField id="15" name="cDescricao" tableColumnId="15"/>
      <queryTableField id="16" name="cHistorico"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465854-8050-49C5-BBBC-ECE936E051B8}" name="Consulta1" displayName="Consulta1" ref="A1:P55" tableType="queryTable" totalsRowShown="0">
  <autoFilter ref="A1:P55" xr:uid="{21465854-8050-49C5-BBBC-ECE936E051B8}"/>
  <tableColumns count="16">
    <tableColumn id="1" xr3:uid="{06E27ECA-3882-4ACA-9AC7-5C6A90D3B917}" uniqueName="1" name="iDeclaracaoID" queryTableFieldId="1"/>
    <tableColumn id="2" xr3:uid="{148D85ED-02EA-4A22-B347-F0DD66028CC2}" uniqueName="2" name="cNumeroDeclaracao" queryTableFieldId="2" dataDxfId="48"/>
    <tableColumn id="3" xr3:uid="{87CCB2E9-4AF0-4270-9B10-834F27B16840}" uniqueName="3" name="iCNPJID" queryTableFieldId="3"/>
    <tableColumn id="4" xr3:uid="{51FA6DE8-E44C-48B0-8081-818E2B410888}" uniqueName="4" name="cReferenciaBraslog" queryTableFieldId="4" dataDxfId="47"/>
    <tableColumn id="5" xr3:uid="{3935A82B-4FB6-4FB6-B030-F2A6D84DA537}" uniqueName="5" name="cReferenciaCliente" queryTableFieldId="5" dataDxfId="46"/>
    <tableColumn id="6" xr3:uid="{7676A975-A177-4947-A5E0-825509479D7E}" uniqueName="6" name="dDataRegistroDeclaracao" queryTableFieldId="6" dataDxfId="45"/>
    <tableColumn id="7" xr3:uid="{A23D2876-66BB-4886-9B88-8531CD031773}" uniqueName="7" name="dDataDesembaracoDeclaracao" queryTableFieldId="7" dataDxfId="44"/>
    <tableColumn id="8" xr3:uid="{4A229033-3C30-444E-8ABF-7902FD165CB1}" uniqueName="8" name="iCEID" queryTableFieldId="8"/>
    <tableColumn id="9" xr3:uid="{AEB36A3D-F502-44C8-979C-EF3D3139213D}" uniqueName="9" name="iRecintoID" queryTableFieldId="9"/>
    <tableColumn id="10" xr3:uid="{1DA76DA9-F9D9-475C-95DE-3EFB8C4678B5}" uniqueName="10" name="cNumeroDOSSIE" queryTableFieldId="10" dataDxfId="43"/>
    <tableColumn id="11" xr3:uid="{61F85F9A-1C21-4CB9-95F1-A48CFA4775A8}" uniqueName="11" name="cNumeroProcessoAdministrativo" queryTableFieldId="11" dataDxfId="42"/>
    <tableColumn id="12" xr3:uid="{8FD05FCA-ABCA-464A-9A48-9CE465E69250}" uniqueName="12" name="iContratoID" queryTableFieldId="12"/>
    <tableColumn id="13" xr3:uid="{42D04228-19F6-4401-82E3-21DE7CFFD7D1}" uniqueName="13" name="iApoliceID" queryTableFieldId="13"/>
    <tableColumn id="14" xr3:uid="{9F1EFD72-3E3B-42A5-87E0-3D8FFD8D2D11}" uniqueName="14" name="cModal" queryTableFieldId="14" dataDxfId="41"/>
    <tableColumn id="15" xr3:uid="{AA8E1A08-5FC1-4490-B9C1-DDEBB2A9DFF6}" uniqueName="15" name="cDescricao" queryTableFieldId="15" dataDxfId="40"/>
    <tableColumn id="16" xr3:uid="{3DF07EC4-65D9-4386-AB2C-958BBE51BCFF}" uniqueName="16" name="cHistorico" queryTableFieldId="16" dataDxfId="39"/>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CLIENTES\IRGA%20(GRUPO)\PROCESSOS\EXPORTA&#199;AO\2023\E-23-0033-MBG%20-%20EXPORTA&#199;&#195;O%20TEMPOR&#193;RIA" TargetMode="External"/><Relationship Id="rId18" Type="http://schemas.openxmlformats.org/officeDocument/2006/relationships/hyperlink" Target="..\CLIENTES\IRGA%20(GRUPO)\PROCESSOS\IMPORTA&#199;&#195;O\2022\I-22-0630-MBG%20-%20ADM%20TEMP%20(RT890E%20CAMINH&#195;O%20GUINDASTE%20PNEU)" TargetMode="External"/><Relationship Id="rId26" Type="http://schemas.openxmlformats.org/officeDocument/2006/relationships/hyperlink" Target="..\CLIENTES\IRGA%20(GRUPO)\PROCESSOS\IMPORTA&#199;&#195;O\2022\I-22-1149-MBG%20-%20ADM%20TEMP%20(CHILE%20)" TargetMode="External"/><Relationship Id="rId39" Type="http://schemas.openxmlformats.org/officeDocument/2006/relationships/hyperlink" Target="..\CLIENTES\MEGASIL\PROCESSOS\PROCESSOS%2023\I-23-1653-MEG%20-%20ADM%20TEMP%20-%20USADA" TargetMode="External"/><Relationship Id="rId21" Type="http://schemas.openxmlformats.org/officeDocument/2006/relationships/hyperlink" Target="..\CLIENTES\IRGA%20(GRUPO)\PROCESSOS\IMPORTA&#199;&#195;O\2022\I-22-0809-MBG%20-%20ADM%20TEMP%20(SPMT+PPU%20-%20COLOMBIA)%201&#186;" TargetMode="External"/><Relationship Id="rId34" Type="http://schemas.openxmlformats.org/officeDocument/2006/relationships/hyperlink" Target="../CLIENTES/MEGASIL/PROCESSOS/PROCESSOS%2017/I-17-1964-MEG%20-%20DH-MEGA15%20-%20AD.%20TEMPOR&#193;RIA" TargetMode="External"/><Relationship Id="rId42" Type="http://schemas.openxmlformats.org/officeDocument/2006/relationships/hyperlink" Target="..\CLIENTES\IRGA%20(GRUPO)\PROCESSOS\IMPORTA&#199;&#195;O\2024\I-24-0271-MBG%20-%20ADM%20TEMP%20-%20CABOS%20E%20CONTRAPESO" TargetMode="External"/><Relationship Id="rId47" Type="http://schemas.openxmlformats.org/officeDocument/2006/relationships/hyperlink" Target="..\CLIENTES\DTA%20ENGENHARIA\PROCESSOS\2024\IMPORTA&#199;&#195;O\I-24-1261-DTE%20-%20DRAGA%20-%20ELBE" TargetMode="External"/><Relationship Id="rId50" Type="http://schemas.openxmlformats.org/officeDocument/2006/relationships/hyperlink" Target="../CLIENTES/TRANSDATA/Transdata/Processos%2024/I-24-1778-TRA%20-%20ADM%20TEMP%20-%20MOIT&#195;O" TargetMode="External"/><Relationship Id="rId7" Type="http://schemas.openxmlformats.org/officeDocument/2006/relationships/hyperlink" Target="..\CLIENTES\IRGA%20(GRUPO)\PROCESSOS\IMPORTA&#199;&#195;O\2023\I-23-0432-MBG%20-%20ADM%20TEMP%20-%20LINHAS%20DE%20EIXO%20(REP%20DOMINICANA)" TargetMode="External"/><Relationship Id="rId2" Type="http://schemas.openxmlformats.org/officeDocument/2006/relationships/hyperlink" Target="..\CLIENTES\IRGA%20(GRUPO)\PROCESSOS\IMPORTA&#199;&#195;O\2022\I-22-0688-MBG%20-%20ADM%20TEMP%20(SPMT%20LINHA%20DE%20EIXO%20AUTOPROPELIDA%20+%20PPU%20-%20R.%20DOMINICANA)" TargetMode="External"/><Relationship Id="rId16" Type="http://schemas.openxmlformats.org/officeDocument/2006/relationships/hyperlink" Target="..\CLIENTES\IRGA%20(GRUPO)\PROCESSOS\IMPORTA&#199;&#195;O\2022\I-22-0621-MBG%20-%20ADM%20TEMP%20(KOBELCO%20CK1100%20GUINDASTE%20ESTEIRA)" TargetMode="External"/><Relationship Id="rId29" Type="http://schemas.openxmlformats.org/officeDocument/2006/relationships/hyperlink" Target="..\CLIENTES\IRGA%20(GRUPO)\PROCESSOS\IMPORTA&#199;&#195;O\2019\I-19-0142-MBG%20-%20CONTAINER%20OFICINA" TargetMode="External"/><Relationship Id="rId11" Type="http://schemas.openxmlformats.org/officeDocument/2006/relationships/hyperlink" Target="../CLIENTES/MEGASIL/PROCESSOS/PROCESSOS%2022/I-22-1689-MEG%20-%20ADMISS&#195;O%20TEMPORARIA%20-%20USADA" TargetMode="External"/><Relationship Id="rId24" Type="http://schemas.openxmlformats.org/officeDocument/2006/relationships/hyperlink" Target="..\CLIENTES\IRGA%20(GRUPO)\PROCESSOS\IMPORTA&#199;&#195;O\2021\I-21-1596-MBG%20-%20ADM%20TEMPORARIA%20_%20MOITAO%20CC2800" TargetMode="External"/><Relationship Id="rId32" Type="http://schemas.openxmlformats.org/officeDocument/2006/relationships/hyperlink" Target="../CLIENTES/MEGASIL/PROCESSOS/PROCESSOS%2020/I-20-1533-MEG%20-%20ADM%20TEMPOR&#193;RIA%20(FORRAGEIRA%20+%20PLATAFORMA)" TargetMode="External"/><Relationship Id="rId37" Type="http://schemas.openxmlformats.org/officeDocument/2006/relationships/hyperlink" Target="..\CLIENTES\TRANSDATA\Transdata\Processos%2023\I-23-1722-TRA%20-%20ADM%20TEMP%20-%20PPU%20+%20SPTM%20ITALIA" TargetMode="External"/><Relationship Id="rId40" Type="http://schemas.openxmlformats.org/officeDocument/2006/relationships/hyperlink" Target="../CLIENTES/MEGASIL/PROCESSOS/PROCESSOS%2023/I-23-1812-MEG%20-%20ADM%20TEMP%20-%20USADA" TargetMode="External"/><Relationship Id="rId45" Type="http://schemas.openxmlformats.org/officeDocument/2006/relationships/hyperlink" Target="../CLIENTES/BOWLINE/IMPORTA&#199;&#195;O/I-24-0782-BWL%20-%20ADM%20TEMP" TargetMode="External"/><Relationship Id="rId53" Type="http://schemas.openxmlformats.org/officeDocument/2006/relationships/hyperlink" Target="../CLIENTES/DTA%20ENGENHARIA/PROCESSOS/2024/IMPORTA&#199;&#195;O/I-24-2191-DTE%20-%20DRAGA%20LINDWAY" TargetMode="External"/><Relationship Id="rId5" Type="http://schemas.openxmlformats.org/officeDocument/2006/relationships/hyperlink" Target="..\CLIENTES\IRGA%20(GRUPO)\PROCESSOS\IMPORTA&#199;&#195;O\2021\I-21-1420-MBG%20-%20ADM%20TEMPORARIA%20-%20Guindaste%20KOBELCO%20CKE1100G-2" TargetMode="External"/><Relationship Id="rId10" Type="http://schemas.openxmlformats.org/officeDocument/2006/relationships/hyperlink" Target="..\CLIENTES\IRGA%20(GRUPO)\PROCESSOS\IMPORTA&#199;&#195;O\2023\I-23-0175-MBG%20-%20ADM%20TEMP%20-%20REP.%20DOMINICANA%20-%20POWER%20PACK" TargetMode="External"/><Relationship Id="rId19" Type="http://schemas.openxmlformats.org/officeDocument/2006/relationships/hyperlink" Target="..\CLIENTES\IRGA%20(GRUPO)\PROCESSOS\IMPORTA&#199;&#195;O\2022\I-22-0631-MBG%20-%20ADM%20TEMP%20(LR1300%20GUINDASTE%20ESTEIRA)" TargetMode="External"/><Relationship Id="rId31" Type="http://schemas.openxmlformats.org/officeDocument/2006/relationships/hyperlink" Target="..\CLIENTES\TRANSDATA\Transdata\Processos%2023\I-23-0861-TRA%20-%20ADM%20TEMP%20-%20GUINDASTE%20URUGUAI" TargetMode="External"/><Relationship Id="rId44" Type="http://schemas.openxmlformats.org/officeDocument/2006/relationships/hyperlink" Target="..\CLIENTES\DTA%20ENGENHARIA\PROCESSOS\2024\IMPORTA&#199;&#195;O\I-24-1100-DTE%20-%20DRAGA%20-%20KENFORD" TargetMode="External"/><Relationship Id="rId52" Type="http://schemas.openxmlformats.org/officeDocument/2006/relationships/hyperlink" Target="..\CLIENTES\NEA%20TANKS\E-24-0052-NEA%20-%20EXP.%20TEMPOR&#193;RIA" TargetMode="External"/><Relationship Id="rId4" Type="http://schemas.openxmlformats.org/officeDocument/2006/relationships/hyperlink" Target="..\CLIENTES\IRGA%20(GRUPO)\PROCESSOS\IMPORTA&#199;&#195;O\2022\I-22-1173-MBG%20-%20ADM%20TEMP%20(CHILE%20-%20LTM%201220)" TargetMode="External"/><Relationship Id="rId9" Type="http://schemas.openxmlformats.org/officeDocument/2006/relationships/hyperlink" Target="..\CLIENTES\IRGA%20(GRUPO)\PROCESSOS\IMPORTA&#199;&#195;O\2021\I-21-1419-MBG%20-%20ADM%20TEMPORARIA%20-%20Lan&#231;a%20CC2500-1" TargetMode="External"/><Relationship Id="rId14" Type="http://schemas.openxmlformats.org/officeDocument/2006/relationships/hyperlink" Target="..\CLIENTES\MITSUBISH%20BRASIL\PROCESSOS%202023\I-23-1919-MIT%20-%20MAZ01%20Classifica&#231;&#227;o%20importa&#231;&#227;o%20temporaria%20ferramentas" TargetMode="External"/><Relationship Id="rId22" Type="http://schemas.openxmlformats.org/officeDocument/2006/relationships/hyperlink" Target="..\CLIENTES\IRGA%20(GRUPO)\PROCESSOS\IMPORTA&#199;&#195;O\2022\I-22-0968-MBG%20-%20ADM%20TEMP%20(MATS%20USA_COLOMBIA)" TargetMode="External"/><Relationship Id="rId27" Type="http://schemas.openxmlformats.org/officeDocument/2006/relationships/hyperlink" Target="..\CLIENTES\IRGA%20(GRUPO)\PROCESSOS\IMPORTA&#199;&#195;O\2022\I-22-1955-MBG%20-%20ADM%20TEMP%20(CC2800)%20SE&#199;AO%20LAN&#199;A%20-%20RJ" TargetMode="External"/><Relationship Id="rId30" Type="http://schemas.openxmlformats.org/officeDocument/2006/relationships/hyperlink" Target="..\CLIENTES\IRGA%20(GRUPO)\PROCESSOS\IMPORTA&#199;&#195;O\2019\I-19-0475-MBG%20-%20ADMISS&#195;O%20TEMPOR&#193;RIA%20PENDANTE" TargetMode="External"/><Relationship Id="rId35" Type="http://schemas.openxmlformats.org/officeDocument/2006/relationships/hyperlink" Target="../CLIENTES/MEGASIL/PROCESSOS/PROCESSOS%2010/I-10-1287-MEG%20AD.%20TEMPORARIA" TargetMode="External"/><Relationship Id="rId43" Type="http://schemas.openxmlformats.org/officeDocument/2006/relationships/hyperlink" Target="../CLIENTES/MEGASIL/PROCESSOS/PROCESSOS%2023/I-23-1653-MEG%20-%20ADM%20TEMP%20-%20USADA" TargetMode="External"/><Relationship Id="rId48" Type="http://schemas.openxmlformats.org/officeDocument/2006/relationships/hyperlink" Target="../CLIENTES/MEGASIL/PROCESSOS/PROCESSOS%2023/I-23-1653-MEG%20-%20ADM%20TEMP%20-%20USADA" TargetMode="External"/><Relationship Id="rId8" Type="http://schemas.openxmlformats.org/officeDocument/2006/relationships/hyperlink" Target="..\CLIENTES\IRGA%20(GRUPO)\PROCESSOS\IMPORTA&#199;&#195;O\2021\I-21-0343-MBG%20-%20ADM%20TEMPOR&#193;RIA%20-%20CC2800-1%20Trilho%20Estreito%20e%20Se&#231;&#227;o%20de%20lan&#231;a%20JIB" TargetMode="External"/><Relationship Id="rId51" Type="http://schemas.openxmlformats.org/officeDocument/2006/relationships/hyperlink" Target="../CLIENTES/MEGASIL/PROCESSOS/PROCESSOS%2023/I-23-1653-MEG%20-%20ADM%20TEMP%20-%20USADA" TargetMode="External"/><Relationship Id="rId3" Type="http://schemas.openxmlformats.org/officeDocument/2006/relationships/hyperlink" Target="..\CLIENTES\IRGA%20(GRUPO)\PROCESSOS\IMPORTA&#199;&#195;O\2019\I-19-0083-MBG%20-%20ADM.%20TEMP.%20(GUINDASTE%20CC2800-I)" TargetMode="External"/><Relationship Id="rId12" Type="http://schemas.openxmlformats.org/officeDocument/2006/relationships/hyperlink" Target="../CLIENTES/MEGASIL/PROCESSOS/PROCESSOS%2022/I-22-1926-MEG%20-%20ADMISS&#195;O%20TEMPORARIA%20-%20NOVA" TargetMode="External"/><Relationship Id="rId17" Type="http://schemas.openxmlformats.org/officeDocument/2006/relationships/hyperlink" Target="..\CLIENTES\IRGA%20(GRUPO)\PROCESSOS\IMPORTA&#199;&#195;O\2022\I-22-0623-MBG%20-%20ADM%20TEMP%20(KOBELCO%20CKE1100G%20GUINDASTE%20ESTEIRA)" TargetMode="External"/><Relationship Id="rId25" Type="http://schemas.openxmlformats.org/officeDocument/2006/relationships/hyperlink" Target="..\CLIENTES\IRGA%20(GRUPO)\PROCESSOS\IMPORTA&#199;&#195;O\2021\I-21-0555-MBG%20-%20ADM%20TEMPOR&#193;RIA%20-%20Atuador%20para%20Guindaste%20CC-2800" TargetMode="External"/><Relationship Id="rId33" Type="http://schemas.openxmlformats.org/officeDocument/2006/relationships/hyperlink" Target="..\CLIENTES\MEGASIL\PROCESSOS\PROCESSOS%2021\IMPORTA&#199;&#195;O\I-21-1334-MEG%20-%20ADMISS&#195;O%20TEMPOR&#193;RIA" TargetMode="External"/><Relationship Id="rId38" Type="http://schemas.openxmlformats.org/officeDocument/2006/relationships/hyperlink" Target="..\CLIENTES\NEA%20TANKS\E-24-0004-NEA%20-%20EXP.%20TEMPOR&#193;RIA" TargetMode="External"/><Relationship Id="rId46" Type="http://schemas.openxmlformats.org/officeDocument/2006/relationships/hyperlink" Target="..\CLIENTES\KARINA%20INDUSTRIA\PROCESSOS%20EXPORTA&#199;&#195;O\PROCESSOS%202024\E-24-0208-KRN%20-%20EXP.%20TEMPOR&#193;RIA" TargetMode="External"/><Relationship Id="rId20" Type="http://schemas.openxmlformats.org/officeDocument/2006/relationships/hyperlink" Target="..\CLIENTES\IRGA%20(GRUPO)\PROCESSOS\IMPORTA&#199;&#195;O\2022\I-22-0632-MBG%20-%20ADM%20TEMP%20(PE&#199;AS%20SPMT)" TargetMode="External"/><Relationship Id="rId41" Type="http://schemas.openxmlformats.org/officeDocument/2006/relationships/hyperlink" Target="..\CLIENTES\IRGA%20(GRUPO)\PROCESSOS\IMPORTA&#199;&#195;O\2024\I-24-0252-MBG%20-%20ADM%20TEMP%20-%20JIB" TargetMode="External"/><Relationship Id="rId54" Type="http://schemas.openxmlformats.org/officeDocument/2006/relationships/hyperlink" Target="../CLIENTES/MEGASIL/PROCESSOS/PROCESSOS%2023/I-23-1653-MEG%20-%20ADM%20TEMP%20-%20USADA" TargetMode="External"/><Relationship Id="rId1" Type="http://schemas.openxmlformats.org/officeDocument/2006/relationships/hyperlink" Target="..\CLIENTES\IRGA%20(GRUPO)\PROCESSOS\IMPORTA&#199;&#195;O\2021\I-21-0721-MBG%20-%20ADM%20TEMPORARIA%20-%20Guindaste%20sobre%20Pneu%20500%20ton" TargetMode="External"/><Relationship Id="rId6" Type="http://schemas.openxmlformats.org/officeDocument/2006/relationships/hyperlink" Target="../CLIENTES/MEGASIL/PROCESSOS/PROCESSOS%2019/I-19-1042-MEG%20-%20PFWS19-2%20(AT)" TargetMode="External"/><Relationship Id="rId15" Type="http://schemas.openxmlformats.org/officeDocument/2006/relationships/hyperlink" Target="..\CLIENTES\IRGA%20(GRUPO)\PROCESSOS\IMPORTA&#199;&#195;O\2022\I-22-0680-MBG%20-%20ADM%20TEMP%20(CC3800-1)" TargetMode="External"/><Relationship Id="rId23" Type="http://schemas.openxmlformats.org/officeDocument/2006/relationships/hyperlink" Target="..\CLIENTES\IRGA%20(GRUPO)\PROCESSOS\IMPORTA&#199;&#195;O\2021\I-21-0242-MBG%20-%20ADM%20TEMPOR&#193;RIA%20-%20Mid%20Points%20-%20Correntes" TargetMode="External"/><Relationship Id="rId28" Type="http://schemas.openxmlformats.org/officeDocument/2006/relationships/hyperlink" Target="..\CLIENTES\IRGA%20(GRUPO)\PROCESSOS\IMPORTA&#199;&#195;O\2017\I-17-2116-MBG%20-%20ADM%20TEMP.%20LINHAS%20DE%20EIXO%20+%20POWER%20PACK%20(RJ)" TargetMode="External"/><Relationship Id="rId36" Type="http://schemas.openxmlformats.org/officeDocument/2006/relationships/hyperlink" Target="../CLIENTES/MEGASIL/PROCESSOS/PROCESSOS%2010/I-10-1199-MEG%20AD.%20TEMPORARIA" TargetMode="External"/><Relationship Id="rId49" Type="http://schemas.openxmlformats.org/officeDocument/2006/relationships/hyperlink" Target="../CLIENTES/MEGASIL/PROCESSOS/PROCESSOS%2023/I-23-1653-MEG%20-%20ADM%20TEMP%20-%20USAD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F9C0E-D39E-474D-BDF1-EF497463DD5A}">
  <dimension ref="A1:X56"/>
  <sheetViews>
    <sheetView topLeftCell="K36" workbookViewId="0">
      <selection activeCell="P38" sqref="P38"/>
    </sheetView>
  </sheetViews>
  <sheetFormatPr defaultRowHeight="15" x14ac:dyDescent="0.25"/>
  <cols>
    <col min="1" max="1" width="19.5703125" bestFit="1" customWidth="1"/>
    <col min="2" max="3" width="14" bestFit="1" customWidth="1"/>
    <col min="4" max="4" width="14.5703125" bestFit="1" customWidth="1"/>
    <col min="5" max="5" width="13.5703125" bestFit="1" customWidth="1"/>
    <col min="6" max="6" width="8.85546875" bestFit="1" customWidth="1"/>
    <col min="7" max="7" width="15.7109375" bestFit="1" customWidth="1"/>
    <col min="8" max="9" width="8.140625" customWidth="1"/>
    <col min="10" max="10" width="27.5703125" customWidth="1"/>
    <col min="11" max="11" width="9.140625" customWidth="1"/>
    <col min="12" max="14" width="8.7109375" customWidth="1"/>
    <col min="15" max="15" width="43.85546875" customWidth="1"/>
    <col min="16" max="16" width="22.85546875" customWidth="1"/>
    <col min="17" max="17" width="20.28515625" customWidth="1"/>
    <col min="18" max="18" width="16.85546875" customWidth="1"/>
    <col min="19" max="20" width="9.140625" customWidth="1"/>
  </cols>
  <sheetData>
    <row r="1" spans="1:24" x14ac:dyDescent="0.25">
      <c r="B1" cm="1">
        <f t="array" ref="B1:U1">_xlfn.SEQUENCE(,COUNTA(B2:V2))</f>
        <v>1</v>
      </c>
      <c r="C1">
        <v>2</v>
      </c>
      <c r="D1">
        <v>3</v>
      </c>
      <c r="E1">
        <v>4</v>
      </c>
      <c r="F1">
        <v>5</v>
      </c>
      <c r="G1">
        <v>6</v>
      </c>
      <c r="H1">
        <v>7</v>
      </c>
      <c r="I1">
        <v>8</v>
      </c>
      <c r="J1">
        <v>9</v>
      </c>
      <c r="K1">
        <v>10</v>
      </c>
      <c r="L1">
        <v>11</v>
      </c>
      <c r="M1">
        <v>12</v>
      </c>
      <c r="N1">
        <v>13</v>
      </c>
      <c r="O1">
        <v>14</v>
      </c>
      <c r="P1">
        <v>15</v>
      </c>
      <c r="Q1">
        <v>16</v>
      </c>
      <c r="R1">
        <v>17</v>
      </c>
      <c r="S1">
        <v>18</v>
      </c>
      <c r="T1">
        <v>19</v>
      </c>
      <c r="U1">
        <v>20</v>
      </c>
    </row>
    <row r="2" spans="1:24" ht="53.25" customHeight="1" x14ac:dyDescent="0.25">
      <c r="A2" t="s">
        <v>528</v>
      </c>
      <c r="B2" s="1" t="s">
        <v>0</v>
      </c>
      <c r="C2" s="2" t="s">
        <v>1</v>
      </c>
      <c r="D2" s="3" t="s">
        <v>2</v>
      </c>
      <c r="E2" s="4" t="s">
        <v>3</v>
      </c>
      <c r="F2" s="4" t="s">
        <v>4</v>
      </c>
      <c r="G2" s="4" t="s">
        <v>5</v>
      </c>
      <c r="H2" s="5" t="s">
        <v>6</v>
      </c>
      <c r="I2" s="6" t="s">
        <v>7</v>
      </c>
      <c r="J2" s="7" t="s">
        <v>8</v>
      </c>
      <c r="K2" s="8" t="s">
        <v>9</v>
      </c>
      <c r="L2" s="6" t="s">
        <v>10</v>
      </c>
      <c r="M2" s="7" t="s">
        <v>11</v>
      </c>
      <c r="N2" s="7" t="s">
        <v>12</v>
      </c>
      <c r="O2" s="9" t="s">
        <v>13</v>
      </c>
      <c r="P2" s="9" t="s">
        <v>14</v>
      </c>
      <c r="Q2" s="4" t="s">
        <v>15</v>
      </c>
      <c r="R2" s="10" t="s">
        <v>16</v>
      </c>
      <c r="S2" s="11" t="s">
        <v>17</v>
      </c>
      <c r="T2" s="12" t="s">
        <v>18</v>
      </c>
      <c r="U2" t="s">
        <v>532</v>
      </c>
    </row>
    <row r="3" spans="1:24" ht="53.25" customHeight="1" x14ac:dyDescent="0.25">
      <c r="A3" t="str">
        <f>B3&amp;" - "&amp;COUNTIF($B$3:B3,B3)</f>
        <v>MAMMOET - 1</v>
      </c>
      <c r="B3" s="13" t="s">
        <v>19</v>
      </c>
      <c r="C3" s="14">
        <v>2213721580</v>
      </c>
      <c r="D3" s="15" t="s">
        <v>20</v>
      </c>
      <c r="E3" s="13"/>
      <c r="F3" s="16" t="s">
        <v>21</v>
      </c>
      <c r="G3" s="17">
        <v>72205154296309</v>
      </c>
      <c r="H3" s="18">
        <f t="shared" ref="H3:H56" si="0">EDATE(I3,-1)</f>
        <v>45563</v>
      </c>
      <c r="I3" s="19">
        <f t="shared" ref="I3:I56" si="1">EDATE(LEFT(L3,10),-1)</f>
        <v>45593</v>
      </c>
      <c r="J3" s="20" t="s">
        <v>22</v>
      </c>
      <c r="K3" s="21" t="s">
        <v>23</v>
      </c>
      <c r="L3" s="22" t="s">
        <v>24</v>
      </c>
      <c r="M3" s="23">
        <v>44761</v>
      </c>
      <c r="N3" s="23">
        <v>44769</v>
      </c>
      <c r="O3" s="24" t="s">
        <v>25</v>
      </c>
      <c r="P3" s="25">
        <v>11426377000123</v>
      </c>
      <c r="Q3" s="26"/>
      <c r="R3" s="27">
        <v>202200158843967</v>
      </c>
      <c r="S3" s="28"/>
      <c r="T3" s="29" t="s">
        <v>26</v>
      </c>
      <c r="U3" t="s">
        <v>529</v>
      </c>
      <c r="V3" t="str">
        <f>"'"&amp;SUBSTITUTE(T3,CHAR(10),"' + CHAR(13) + CHAR(10) + "&amp;CHAR(10)&amp;"'")&amp;"'"</f>
        <v>'29/11/2024 - Reexportado através dos processos E-24/0382-MBG e E-24/0384-MBG' + CHAR(13) + CHAR(10) + 
'30/09/2024 - Cobrado procedimento a ser adotado' + CHAR(13) + CHAR(10) + 
'27/06/2024 - Juntada efetuada' + CHAR(13) + CHAR(10) + 
'27/06/2024 - Docs recebidos' + CHAR(13) + CHAR(10) + 
'17/06/2024 - Nuerario enviado, ag retorno' + CHAR(13) + CHAR(10) + 
'13/06/2024 - Prorrogação por mais 5 meses' + CHAR(13) + CHAR(10) + 
'03/06/2024 - Cobrado novamente' + CHAR(13) + CHAR(10) + 
'30/04/2024 - Cobrado procedimento a ser adotado' + CHAR(13) + CHAR(10) + 
'27/12/2023 - Juntada efetuada.' + CHAR(13) + CHAR(10) + 
'01/12/2023 - Enviado Numerario e RPR, ag retorno' + CHAR(13) + CHAR(10) + 
'22/11/2023 - Solicitado prorrogação por mais 6 meses' + CHAR(13) + CHAR(10) + 
'30/10/2023 - Cobrado procedimento a ser adotado' + CHAR(13) + CHAR(10) + 
'27/06/2023 - Juntada efetuada pelo DOSSIE' + CHAR(13) + CHAR(10) + 
'21/06/2023 - Documentação recebida' + CHAR(13) + CHAR(10) + 
'01/06/2023 - Cobrado novamente' + CHAR(13) + CHAR(10) + 
'03/05/2023 - Cobrado procedimento a ser adotado' + CHAR(13) + CHAR(10) + 
'22/09/2022 - Processo incluido no controle'</v>
      </c>
      <c r="W3" t="str" cm="1">
        <f t="array" ref="W3:W56">"WHEN "&amp;_xlfn.SEQUENCE(COUNTA(B3:B56))&amp;" THEN"&amp;CHAR(10)&amp;V3:V56</f>
        <v>WHEN 1 THEN
'29/11/2024 - Reexportado através dos processos E-24/0382-MBG e E-24/0384-MBG' + CHAR(13) + CHAR(10) + 
'30/09/2024 - Cobrado procedimento a ser adotado' + CHAR(13) + CHAR(10) + 
'27/06/2024 - Juntada efetuada' + CHAR(13) + CHAR(10) + 
'27/06/2024 - Docs recebidos' + CHAR(13) + CHAR(10) + 
'17/06/2024 - Nuerario enviado, ag retorno' + CHAR(13) + CHAR(10) + 
'13/06/2024 - Prorrogação por mais 5 meses' + CHAR(13) + CHAR(10) + 
'03/06/2024 - Cobrado novamente' + CHAR(13) + CHAR(10) + 
'30/04/2024 - Cobrado procedimento a ser adotado' + CHAR(13) + CHAR(10) + 
'27/12/2023 - Juntada efetuada.' + CHAR(13) + CHAR(10) + 
'01/12/2023 - Enviado Numerario e RPR, ag retorno' + CHAR(13) + CHAR(10) + 
'22/11/2023 - Solicitado prorrogação por mais 6 meses' + CHAR(13) + CHAR(10) + 
'30/10/2023 - Cobrado procedimento a ser adotado' + CHAR(13) + CHAR(10) + 
'27/06/2023 - Juntada efetuada pelo DOSSIE' + CHAR(13) + CHAR(10) + 
'21/06/2023 - Documentação recebida' + CHAR(13) + CHAR(10) + 
'01/06/2023 - Cobrado novamente' + CHAR(13) + CHAR(10) + 
'03/05/2023 - Cobrado procedimento a ser adotado' + CHAR(13) + CHAR(10) + 
'22/09/2022 - Processo incluido no controle'</v>
      </c>
      <c r="X3" t="str" cm="1">
        <f t="array" ref="X3:X56">"WHEN "&amp;_xlfn.SEQUENCE(COUNTA(B3:B56))&amp;" THEN"&amp;CHAR(10)&amp;"'"&amp;UPPER(TRIM(K3:K56))&amp;"'"</f>
        <v>WHEN 1 THEN
'DISTRIBUIDOR DE CARGA METALICO, FABRICANTE MAMMOET LIFTING AND TRANSPORT SAS, MODELO: HEB300- S235, ANO DE FABRICACAO: 2020, USADO,NUMERO DE EQUIPAMENTO: 200812-001; 200812-002; 200812-003; 200812-004; 200812-005; 200812-006; 200812-009; 200812-010.'</v>
      </c>
    </row>
    <row r="4" spans="1:24" ht="53.25" customHeight="1" x14ac:dyDescent="0.25">
      <c r="A4" t="str">
        <f>B4&amp;" - "&amp;COUNTIF($B$3:B4,B4)</f>
        <v>MAMMOET - 2</v>
      </c>
      <c r="B4" s="30" t="s">
        <v>19</v>
      </c>
      <c r="C4" s="31">
        <v>2406902926</v>
      </c>
      <c r="D4" s="32" t="s">
        <v>27</v>
      </c>
      <c r="E4" s="13" t="s">
        <v>28</v>
      </c>
      <c r="F4" s="33" t="s">
        <v>21</v>
      </c>
      <c r="G4" s="34">
        <v>72405061514983</v>
      </c>
      <c r="H4" s="18">
        <f t="shared" si="0"/>
        <v>45568</v>
      </c>
      <c r="I4" s="19">
        <f t="shared" si="1"/>
        <v>45599</v>
      </c>
      <c r="J4" s="20" t="s">
        <v>29</v>
      </c>
      <c r="K4" s="35" t="s">
        <v>30</v>
      </c>
      <c r="L4" s="36" t="s">
        <v>31</v>
      </c>
      <c r="M4" s="37">
        <v>45384</v>
      </c>
      <c r="N4" s="23">
        <v>45386</v>
      </c>
      <c r="O4" s="24" t="s">
        <v>32</v>
      </c>
      <c r="P4" s="38">
        <v>11426377000123</v>
      </c>
      <c r="Q4" s="26"/>
      <c r="R4" s="27">
        <v>202400232144540</v>
      </c>
      <c r="S4" s="27"/>
      <c r="T4" s="21" t="s">
        <v>33</v>
      </c>
      <c r="U4" t="s">
        <v>529</v>
      </c>
      <c r="V4" t="str">
        <f t="shared" ref="V4:V56" si="2">"'"&amp;SUBSTITUTE(T4,CHAR(10),"' + CHAR(13) + CHAR(10) + "&amp;CHAR(10)&amp;"'")&amp;"'"</f>
        <v>'29/11/2024 - Reexportado através dos processos E-24/0418-MBG' + CHAR(13) + CHAR(10) + 
'27/11/2024 - Cobrado novamente' + CHAR(13) + CHAR(10) + 
'01/11/2024 - Cobrado procedimento a ser adotado' + CHAR(13) + CHAR(10) + 
'29/10/2024 - Juntada efetuada' + CHAR(13) + CHAR(10) + 
'28/10/2024 - Docs recebidos' + CHAR(13) + CHAR(10) + 
'22/10/2024 - Numerario enviado, ag retorno' + CHAR(13) + CHAR(10) + 
'21/10/2024 - Solciitado prorrogaçao por mais 1 mes' + CHAR(13) + CHAR(10) + 
'14/10/2024 - Cobrado novamente' + CHAR(13) + CHAR(10) + 
'09/09/2024 - Cobrado procedimento a ser adotado' + CHAR(13) + CHAR(10) + 
'03/07/2024 - Juntada efetuada' + CHAR(13) + CHAR(10) + 
'02/07/2024 - Docs recebidos' + CHAR(13) + CHAR(10) + 
'25/06/2024 - Solicitado prorrogação por mais 4 meses, numerario enviado, ag retorno' + CHAR(13) + CHAR(10) + 
'10/06/2024 - Cobrado procedimento a ser adotado' + CHAR(13) + CHAR(10) + 
'03/06/2024 - Juntada efetuada' + CHAR(13) + CHAR(10) + 
'29/05/2024 - Docs recebidos' + CHAR(13) + CHAR(10) + 
'27/05/2024 - Enviado Numerario e RPR, ag retorno' + CHAR(13) + CHAR(10) + 
'21/05/2024 - Solicitado prorrogação por mais 1 mes' + CHAR(13) + CHAR(10) + 
'07/05/2024 - Cobrado procedimento a ser adotado' + CHAR(13) + CHAR(10) + 
'30/04/2024 - Processo incluído no controle'</v>
      </c>
      <c r="W4" t="str">
        <v>WHEN 2 THEN
'29/11/2024 - Reexportado através dos processos E-24/0418-MBG' + CHAR(13) + CHAR(10) + 
'27/11/2024 - Cobrado novamente' + CHAR(13) + CHAR(10) + 
'01/11/2024 - Cobrado procedimento a ser adotado' + CHAR(13) + CHAR(10) + 
'29/10/2024 - Juntada efetuada' + CHAR(13) + CHAR(10) + 
'28/10/2024 - Docs recebidos' + CHAR(13) + CHAR(10) + 
'22/10/2024 - Numerario enviado, ag retorno' + CHAR(13) + CHAR(10) + 
'21/10/2024 - Solciitado prorrogaçao por mais 1 mes' + CHAR(13) + CHAR(10) + 
'14/10/2024 - Cobrado novamente' + CHAR(13) + CHAR(10) + 
'09/09/2024 - Cobrado procedimento a ser adotado' + CHAR(13) + CHAR(10) + 
'03/07/2024 - Juntada efetuada' + CHAR(13) + CHAR(10) + 
'02/07/2024 - Docs recebidos' + CHAR(13) + CHAR(10) + 
'25/06/2024 - Solicitado prorrogação por mais 4 meses, numerario enviado, ag retorno' + CHAR(13) + CHAR(10) + 
'10/06/2024 - Cobrado procedimento a ser adotado' + CHAR(13) + CHAR(10) + 
'03/06/2024 - Juntada efetuada' + CHAR(13) + CHAR(10) + 
'29/05/2024 - Docs recebidos' + CHAR(13) + CHAR(10) + 
'27/05/2024 - Enviado Numerario e RPR, ag retorno' + CHAR(13) + CHAR(10) + 
'21/05/2024 - Solicitado prorrogação por mais 1 mes' + CHAR(13) + CHAR(10) + 
'07/05/2024 - Cobrado procedimento a ser adotado' + CHAR(13) + CHAR(10) + 
'30/04/2024 - Processo incluído no controle'</v>
      </c>
      <c r="X4" t="str">
        <v>WHEN 2 THEN
'CABOS DE AÇO, GALVANIZADO PARA GUINDASTE'</v>
      </c>
    </row>
    <row r="5" spans="1:24" ht="53.25" customHeight="1" x14ac:dyDescent="0.25">
      <c r="A5" t="str">
        <f>B5&amp;" - "&amp;COUNTIF($B$3:B5,B5)</f>
        <v>MAMMOET - 3</v>
      </c>
      <c r="B5" s="13" t="s">
        <v>19</v>
      </c>
      <c r="C5" s="14">
        <v>2215388101</v>
      </c>
      <c r="D5" s="15" t="s">
        <v>34</v>
      </c>
      <c r="E5" s="13"/>
      <c r="F5" s="16" t="s">
        <v>21</v>
      </c>
      <c r="G5" s="17">
        <v>72205156943263</v>
      </c>
      <c r="H5" s="18">
        <f t="shared" si="0"/>
        <v>45577</v>
      </c>
      <c r="I5" s="19">
        <f t="shared" si="1"/>
        <v>45608</v>
      </c>
      <c r="J5" s="20" t="s">
        <v>22</v>
      </c>
      <c r="K5" s="21" t="s">
        <v>35</v>
      </c>
      <c r="L5" s="22" t="s">
        <v>36</v>
      </c>
      <c r="M5" s="23">
        <v>44783</v>
      </c>
      <c r="N5" s="23">
        <v>44785</v>
      </c>
      <c r="O5" s="24" t="s">
        <v>25</v>
      </c>
      <c r="P5" s="25">
        <v>11426377000123</v>
      </c>
      <c r="Q5" s="26"/>
      <c r="R5" s="27">
        <v>202200161707530</v>
      </c>
      <c r="S5" s="28"/>
      <c r="T5" s="29" t="s">
        <v>37</v>
      </c>
      <c r="U5" t="s">
        <v>529</v>
      </c>
      <c r="V5" t="str">
        <f t="shared" si="2"/>
        <v>'29/11/2024 - Reexportado através do processo E-24/0406-MBG' + CHAR(13) + CHAR(10) + 
'27/11/2024 - Cobrado novamente' + CHAR(13) + CHAR(10) + 
'01/11/2024 - Cobrado procedimento a ser adotado' + CHAR(13) + CHAR(10) + 
'29/10/2024 - Juntada efetuada' + CHAR(13) + CHAR(10) + 
'28/10/2024 - Docs recebidos' + CHAR(13) + CHAR(10) + 
'22/10/2024 - Numerario enviado, ag retorno' + CHAR(13) + CHAR(10) + 
'21/10/2024 - Solciitado prorrogaçao por mais 1 mes' + CHAR(13) + CHAR(10) + 
'14/10/2024 - Cobrado novamente' + CHAR(13) + CHAR(10) + 
'30/09/2024 - Cobrado procedimento a ser adotado' + CHAR(13) + CHAR(10) + 
'13/06/2024 - Juntada efetuada' + CHAR(13) + CHAR(10) + 
'11/06/2024 - Docs recebidos' + CHAR(13) + CHAR(10) + 
'10/06/2024 - Numerario enviado, ag retorno' + CHAR(13) + CHAR(10) + 
'04/06/2024 - Prorrogação por mais 5 meses' + CHAR(13) + CHAR(10) + 
'03/06/2024 - Cobrado novamente' + CHAR(13) + CHAR(10) + 
'15/04/2024 - Cobrado procedimento a ser adotado' + CHAR(13) + CHAR(10) + 
'12/01/2024 - Juntada efetuada' + CHAR(13) + CHAR(10) + 
'12/01/2024 - Docs recebidos' + CHAR(13) + CHAR(10) + 
'04/01/2024 - Numerario e RPR enviados, agr retorno' + CHAR(13) + CHAR(10) + 
'03/01/2024 - Solicitado prorrogação por mais 4 meses' + CHAR(13) + CHAR(10) + 
'28/12/2023 - Cobrado novamente' + CHAR(13) + CHAR(10) + 
'21/11/2023 - Cobrado procedimento a ser adotado' + CHAR(13) + CHAR(10) + 
'10/07/2023 - Juntada efetuada através do DOSSIE' + CHAR(13) + CHAR(10) + 
'28/06/2023 - Docs recebidos' + CHAR(13) + CHAR(10) + 
'20/06/2023 - Numerario e TR enviado, ag retorno' + CHAR(13) + CHAR(10) + 
'19/06/2023 - Informado que será prorrogado por 6 meses' + CHAR(13) + CHAR(10) + 
'18/05/2023 - Cobrado procedimento a ser adotado' + CHAR(13) + CHAR(10) + 
'22/09/2022 - Processo incluido no controle'</v>
      </c>
      <c r="W5" t="str">
        <v>WHEN 3 THEN
'29/11/2024 - Reexportado através do processo E-24/0406-MBG' + CHAR(13) + CHAR(10) + 
'27/11/2024 - Cobrado novamente' + CHAR(13) + CHAR(10) + 
'01/11/2024 - Cobrado procedimento a ser adotado' + CHAR(13) + CHAR(10) + 
'29/10/2024 - Juntada efetuada' + CHAR(13) + CHAR(10) + 
'28/10/2024 - Docs recebidos' + CHAR(13) + CHAR(10) + 
'22/10/2024 - Numerario enviado, ag retorno' + CHAR(13) + CHAR(10) + 
'21/10/2024 - Solciitado prorrogaçao por mais 1 mes' + CHAR(13) + CHAR(10) + 
'14/10/2024 - Cobrado novamente' + CHAR(13) + CHAR(10) + 
'30/09/2024 - Cobrado procedimento a ser adotado' + CHAR(13) + CHAR(10) + 
'13/06/2024 - Juntada efetuada' + CHAR(13) + CHAR(10) + 
'11/06/2024 - Docs recebidos' + CHAR(13) + CHAR(10) + 
'10/06/2024 - Numerario enviado, ag retorno' + CHAR(13) + CHAR(10) + 
'04/06/2024 - Prorrogação por mais 5 meses' + CHAR(13) + CHAR(10) + 
'03/06/2024 - Cobrado novamente' + CHAR(13) + CHAR(10) + 
'15/04/2024 - Cobrado procedimento a ser adotado' + CHAR(13) + CHAR(10) + 
'12/01/2024 - Juntada efetuada' + CHAR(13) + CHAR(10) + 
'12/01/2024 - Docs recebidos' + CHAR(13) + CHAR(10) + 
'04/01/2024 - Numerario e RPR enviados, agr retorno' + CHAR(13) + CHAR(10) + 
'03/01/2024 - Solicitado prorrogação por mais 4 meses' + CHAR(13) + CHAR(10) + 
'28/12/2023 - Cobrado novamente' + CHAR(13) + CHAR(10) + 
'21/11/2023 - Cobrado procedimento a ser adotado' + CHAR(13) + CHAR(10) + 
'10/07/2023 - Juntada efetuada através do DOSSIE' + CHAR(13) + CHAR(10) + 
'28/06/2023 - Docs recebidos' + CHAR(13) + CHAR(10) + 
'20/06/2023 - Numerario e TR enviado, ag retorno' + CHAR(13) + CHAR(10) + 
'19/06/2023 - Informado que será prorrogado por 6 meses' + CHAR(13) + CHAR(10) + 
'18/05/2023 - Cobrado procedimento a ser adotado' + CHAR(13) + CHAR(10) + 
'22/09/2022 - Processo incluido no controle'</v>
      </c>
      <c r="X5" t="str">
        <v>WHEN 3 THEN
'DISTRIBUIDOR DE CARGA METALICO 3XHEB 500 LG, FABRICANTE SERVICIOS DE ELEVACION Y TRANSPORTE- MAMMOET CHILE Y CIA LTDA, MODELO:15104519-ENGDWG-F001-0, ANO DE FABRICACAO: 2022, USADO, NÚMERO DE EQUIPAMENTO: NA.'</v>
      </c>
    </row>
    <row r="6" spans="1:24" ht="53.25" customHeight="1" x14ac:dyDescent="0.25">
      <c r="A6" t="str">
        <f>B6&amp;" - "&amp;COUNTIF($B$3:B6,B6)</f>
        <v>MAMMOET - 4</v>
      </c>
      <c r="B6" s="39" t="s">
        <v>19</v>
      </c>
      <c r="C6" s="31">
        <v>2211469948</v>
      </c>
      <c r="D6" s="40" t="s">
        <v>38</v>
      </c>
      <c r="E6" s="13" t="s">
        <v>39</v>
      </c>
      <c r="F6" s="33" t="s">
        <v>21</v>
      </c>
      <c r="G6" s="41">
        <v>102205138266757</v>
      </c>
      <c r="H6" s="18">
        <f t="shared" si="0"/>
        <v>45585</v>
      </c>
      <c r="I6" s="19">
        <f t="shared" si="1"/>
        <v>45616</v>
      </c>
      <c r="J6" s="20" t="s">
        <v>40</v>
      </c>
      <c r="K6" s="42" t="s">
        <v>41</v>
      </c>
      <c r="L6" s="36" t="s">
        <v>42</v>
      </c>
      <c r="M6" s="37">
        <v>44729</v>
      </c>
      <c r="N6" s="37">
        <v>44741</v>
      </c>
      <c r="O6" s="43" t="s">
        <v>43</v>
      </c>
      <c r="P6" s="38">
        <v>11426377000123</v>
      </c>
      <c r="Q6" s="26"/>
      <c r="R6" s="27">
        <v>202200155225677</v>
      </c>
      <c r="S6" s="28"/>
      <c r="T6" s="29" t="s">
        <v>44</v>
      </c>
      <c r="U6" t="s">
        <v>529</v>
      </c>
      <c r="V6" t="str">
        <f t="shared" si="2"/>
        <v>'29/11/2024 - Reexportado através dos processos E-24/0419-MBG' + CHAR(13) + CHAR(10) + 
'25/11/2024 - Cobrado procedimento a ser adotado' + CHAR(13) + CHAR(10) + 
'19/11/2024 - Juntada efetuada' + CHAR(13) + CHAR(10) + 
'13/11/2024 - Docs recebidos' + CHAR(13) + CHAR(10) + 
'11/11/2024 - Numerario enviado, ag retorno' + CHAR(13) + CHAR(10) + 
'07/11/2024 - Solcicitado prorrogaçao por mais 1 mes' + CHAR(13) + CHAR(10) + 
'30/09/2024 - Cobrado procedimento a ser adotado' + CHAR(13) + CHAR(10) + 
'20/06/2024 - Juntada efetuada' + CHAR(13) + CHAR(10) + 
'14/06/2024 - Docs recebidos' + CHAR(13) + CHAR(10) + 
'04/06/2024 - Prorrogação por mais 5 meses, ag retorno' + CHAR(13) + CHAR(10) + 
'03/06/2024 - Cobrado novamente' + CHAR(13) + CHAR(10) + 
'30/04/2024 - Cobrado procedimento a ser adotado' + CHAR(13) + CHAR(10) + 
'19/12/2023 - Juntada efetuada' + CHAR(13) + CHAR(10) + 
'01/12/2023 - Enviado RPR, TR e Numerario, ag retorno' + CHAR(13) + CHAR(10) + 
'22/11/2023 - Solicitado renovação por mais 6 meses' + CHAR(13) + CHAR(10) + 
'26/10/2023 - Cobrado procedimento a ser adotado' + CHAR(13) + CHAR(10) + 
'28/07/2022 - Processo incluido no controle'</v>
      </c>
      <c r="W6" t="str">
        <v>WHEN 4 THEN
'29/11/2024 - Reexportado através dos processos E-24/0419-MBG' + CHAR(13) + CHAR(10) + 
'25/11/2024 - Cobrado procedimento a ser adotado' + CHAR(13) + CHAR(10) + 
'19/11/2024 - Juntada efetuada' + CHAR(13) + CHAR(10) + 
'13/11/2024 - Docs recebidos' + CHAR(13) + CHAR(10) + 
'11/11/2024 - Numerario enviado, ag retorno' + CHAR(13) + CHAR(10) + 
'07/11/2024 - Solcicitado prorrogaçao por mais 1 mes' + CHAR(13) + CHAR(10) + 
'30/09/2024 - Cobrado procedimento a ser adotado' + CHAR(13) + CHAR(10) + 
'20/06/2024 - Juntada efetuada' + CHAR(13) + CHAR(10) + 
'14/06/2024 - Docs recebidos' + CHAR(13) + CHAR(10) + 
'04/06/2024 - Prorrogação por mais 5 meses, ag retorno' + CHAR(13) + CHAR(10) + 
'03/06/2024 - Cobrado novamente' + CHAR(13) + CHAR(10) + 
'30/04/2024 - Cobrado procedimento a ser adotado' + CHAR(13) + CHAR(10) + 
'19/12/2023 - Juntada efetuada' + CHAR(13) + CHAR(10) + 
'01/12/2023 - Enviado RPR, TR e Numerario, ag retorno' + CHAR(13) + CHAR(10) + 
'22/11/2023 - Solicitado renovação por mais 6 meses' + CHAR(13) + CHAR(10) + 
'26/10/2023 - Cobrado procedimento a ser adotado' + CHAR(13) + CHAR(10) + 
'28/07/2022 - Processo incluido no controle'</v>
      </c>
      <c r="X6" t="str">
        <v>WHEN 4 THEN
'GUINDASTE AUTOPROPELIDO SOBRE ESTEIRAS, NOVO, MARCA TEREX-DEMAG, MODELO CC 38.650-1, NÚMERO DE SÉRIE 36254, ANO DE FABRICAÇÃO 2022, NÚMERO DA FROTA 003380, COMPUTADORIZADO, ACIONADO POR MOTOR DIESEL, CAPACIDADE DE 650 TONELADAS, SUPERLIFT, CONTRAPESOS, COM TODOS ACESSÓRIOS PARA SEU FUNCIONAMENTO, DESMONTADO PARCIALMENTE PARA MANUSEIO E TRANSPORTE.'</v>
      </c>
    </row>
    <row r="7" spans="1:24" ht="53.25" customHeight="1" x14ac:dyDescent="0.25">
      <c r="A7" t="str">
        <f>B7&amp;" - "&amp;COUNTIF($B$3:B7,B7)</f>
        <v>DTA ENGENHARIA - 1</v>
      </c>
      <c r="B7" s="44" t="s">
        <v>45</v>
      </c>
      <c r="C7" s="45">
        <v>2411169727</v>
      </c>
      <c r="D7" s="46" t="s">
        <v>46</v>
      </c>
      <c r="E7" s="47" t="s">
        <v>47</v>
      </c>
      <c r="F7" s="48"/>
      <c r="G7" s="49"/>
      <c r="H7" s="50">
        <f t="shared" si="0"/>
        <v>45595</v>
      </c>
      <c r="I7" s="19">
        <f t="shared" si="1"/>
        <v>45626</v>
      </c>
      <c r="J7" s="51" t="s">
        <v>48</v>
      </c>
      <c r="K7" s="52" t="s">
        <v>49</v>
      </c>
      <c r="L7" s="53" t="s">
        <v>50</v>
      </c>
      <c r="M7" s="54">
        <v>45439</v>
      </c>
      <c r="N7" s="55">
        <v>45439</v>
      </c>
      <c r="O7" s="24" t="s">
        <v>51</v>
      </c>
      <c r="P7" s="56">
        <v>2385674000187</v>
      </c>
      <c r="Q7" s="57"/>
      <c r="R7" s="58">
        <v>202400238873528</v>
      </c>
      <c r="S7" s="27"/>
      <c r="T7" s="59" t="s">
        <v>52</v>
      </c>
      <c r="U7" t="s">
        <v>530</v>
      </c>
      <c r="V7" t="str">
        <f t="shared" si="2"/>
        <v>'26/12/2024 - Reexportaçao através do processo E-24/0425-DTE' + CHAR(13) + CHAR(10) + 
'01/11/2024 - Cobrado procedimento a ser adotado' + CHAR(13) + CHAR(10) + 
'25/06/2024 - Processo incluído no controle'</v>
      </c>
      <c r="W7" t="str">
        <v>WHEN 5 THEN
'26/12/2024 - Reexportaçao através do processo E-24/0425-DTE' + CHAR(13) + CHAR(10) + 
'01/11/2024 - Cobrado procedimento a ser adotado' + CHAR(13) + CHAR(10) + 
'25/06/2024 - Processo incluído no controle'</v>
      </c>
      <c r="X7" t="str">
        <v>WHEN 5 THEN
'NOME DO NAVIO: KENFORD TIPO DE NAVIO: DRAGA DE SUCÇÃO TRANSPORTADORA DE ARRASTO. IMO: 8821826 BANDEIRA: BELIZE, CLASSE: DRAGA DE ARRASTO I HULL MACH, CLASSIFICAÇÃO: BUREAU VERITAS, DISTINTIVO DE CHAMADA V3BE2, CONSTRUÇÃO: 1990, PAÍSES BAIXOS. ESTÁ EQUIPADO COM SALA DE MÁQUINAS, COM SALA DE BOMBAS DE PROA, NO DEPÓSITO DE TINTA, COM SALA DE AR-CONDICIONADO, COM SALA DO LEME, COM TREMONHA E NA PONTE. O NAVIO ESTÁ EQUIPADO COM UMA ACOMODAÇÃO PARA 14 PESSOAS. DIMENSÕES: COMPRIMENTO TOTAL: 81,8M, COMPRIMENTO ENTRE PERPENDICULARES: 76,95M, LARGURA MOLDADA: 14,00M, PROFUNDIDADE MOLDADA NA MEIA-NAU: 6,30M, CALADO DE VERÃO:4,20M, CALADO DA DRAGA:5,25M, ALTURA:24M, TONELAGEM (T): TONELAGEM BRUTA:2172, TONELAGEM LÍQUIDA:664, PESO MORTO:3369 TONELADAS, CAPACIDADE DA TREMONHA (PARTE SUPERIOR DA ARMAÇÃO):2500 M3, TUBO DE SUCÇÃO DE TRILHAMENTO:1 COM DIÂMETRO DE 800 MM, TUBO DE DESCARGA PARA A TREMONHA: DIÂMETRO 800 MM, TUBO DE DESCARGA PARA TERRA: DIÂMETRO 650 MM, PROFUNDIDADE DE DRAGAGEM: 25M, VELOCIDADE MÁXIMA:10 NÓS, POTÊNCIA TOTAL INSTALADA DO MOTOR DIESEL: 1956 KW, MOTORES PRINCIPAIS:2 MOTORES A DIESEL BOLNES DE 7 CILINDROS, TIPO 7DNL 190/600, CADA UM COM POTÊNCIA NOMINAL DE 978 KW/1330 HP, A 600 RPM, CADA UM ACIONANDO 1 HÉLICE DE PASSO FIXO POR MEIO DE UMA CAIXA DE REDUÇÃO MASON. GERADOR AUXILIAR: 2 MOTOR DIESEL CATERPILLAR DE 4 CILINDROS, TIPO CAT 3304(B) DI-T, COM POTÊNCIA NOMINAL DE 80KW A 1.500 RPM, ACIONANDO 1 GERADOR. GERADOR DE EMERGÊNCIA: N/A, HÉLICES: 2 HÉLICES DE PASSO FIXO DE BRONZE COM 4 PÁS EM BOCAIS FIXOS. PROPULSOR DE PROA: 1 MOTOR PRINCIPAL BOLNES, GERADORES ACIONADOS (494KW) E HÉLICE DE PASSO FIXO NO TÚNEL. BOMBA DE DRAGAGEM: 1 BOMBA DE PAREDE SIMPLES VOSTA,TIPO IHC 150-42,5-75, ACIONADA POR UM MOTOR A DIESEL DE 978KW/1330HP, 600RPM, FABRICADO EM BOLNES POR MEIO DE UMA CAIXA DE REDUÇÃO TIPO CEGONHA. BOMBA DE REFORÇO: 1 BOMBA DE PAREDE SIMPLES VOSTA, TIPO IHC 175-37,5-75, ACIONADA POR UM MOTOR DIESEL DE 932 KW/1258 HP, 1800 RPM, CATERPILLAR 3512 DI-TA, POR MEIO DE UMA CAIXA DE REDUÇÃO (STORK). BOMBAS DE JATO DÁGUA: 2 BOMBAS GIW DE 1250M3/H, CADA UMA COM 8 BAR, ACIONADAS POR 1 MOTOR DIESEL CATERPILLAR 3412, MARCA HGT 1-300315-180KW. CAPACIDADE DO TANQUE: ÓLEO COMBUSTÍVEL: 269,0 M3 ÓLEOS LUBRIFICANTES 5,6 M3 ÁGUA DOCE: 55,7 T GUINDASTES DE CONVÉS: 1 GUINDASTE HIDRÁULICO PALFINGER, SWL,990 QUILOGRAMAS A 7M E 1 GUINDASTE ELÉTRICO, SWL, 990 QUILOGRAMAS A 6M.ACOMODAÇÃO: A ACOMODAÇÃO CONSISTE EM 3 BELICHES. APARELHOS SALVA-VIDAS:2 BOTES SALVA-VIDAS PARA 16 PESSOAS CADA, 2 BOTES SALVA VIDAS PARA 8 PESSOAS CADA, 1 BARCO MOB COM MOTOR DE POPA DE 25 HP, VÁRIOS OUTROS EQUIPAMENTOS.'</v>
      </c>
    </row>
    <row r="8" spans="1:24" ht="53.25" customHeight="1" x14ac:dyDescent="0.25">
      <c r="A8" t="str">
        <f>B8&amp;" - "&amp;COUNTIF($B$3:B8,B8)</f>
        <v>MAMMOET - 5</v>
      </c>
      <c r="B8" s="44" t="s">
        <v>19</v>
      </c>
      <c r="C8" s="45">
        <v>2111602972</v>
      </c>
      <c r="D8" s="46" t="s">
        <v>53</v>
      </c>
      <c r="E8" s="47" t="s">
        <v>54</v>
      </c>
      <c r="F8" s="48" t="s">
        <v>55</v>
      </c>
      <c r="G8" s="49">
        <v>72105117508099</v>
      </c>
      <c r="H8" s="50">
        <f t="shared" si="0"/>
        <v>45617</v>
      </c>
      <c r="I8" s="19">
        <f t="shared" si="1"/>
        <v>45647</v>
      </c>
      <c r="J8" s="51" t="s">
        <v>56</v>
      </c>
      <c r="K8" s="52" t="s">
        <v>57</v>
      </c>
      <c r="L8" s="53">
        <v>45678</v>
      </c>
      <c r="M8" s="54">
        <v>44364</v>
      </c>
      <c r="N8" s="55">
        <v>44368</v>
      </c>
      <c r="O8" s="24" t="s">
        <v>58</v>
      </c>
      <c r="P8" s="56">
        <v>11426377000123</v>
      </c>
      <c r="Q8" s="57"/>
      <c r="R8" s="58">
        <v>202100109389832</v>
      </c>
      <c r="S8" s="28">
        <v>46190</v>
      </c>
      <c r="T8" s="60" t="s">
        <v>59</v>
      </c>
      <c r="U8" t="s">
        <v>529</v>
      </c>
      <c r="V8" t="str">
        <f t="shared" si="2"/>
        <v>'26/12/2024 - Cobrado procedimento a ser adotado' + CHAR(13) + CHAR(10) + 
'20/12/2024 - Juntada efetuada' + CHAR(13) + CHAR(10) + 
'19/12/2024 - Docs recebidos' + CHAR(13) + CHAR(10) + 
'25/11/2024 - Cobrado procedimento a ser adotado' + CHAR(13) + CHAR(10) + 
'21/11/2024 - Juntada efetuada' + CHAR(13) + CHAR(10) + 
'19/11/2024 - Docs recebidos' + CHAR(13) + CHAR(10) + 
'14/11/2024 - Numerario enviado, ag retorno' + CHAR(13) + CHAR(10) + 
'12/11/2024 - Solicitado prorrogação por mais 1 mes' + CHAR(13) + CHAR(10) + 
'30/09/2024 - Cobrado procedimento a ser adotado' + CHAR(13) + CHAR(10) + 
'21/08/2024 - Juntada efetuada' + CHAR(13) + CHAR(10) + 
'21/08/2024 - Docs recebidos' + CHAR(13) + CHAR(10) + 
'07/08/2024 - Numerario enviado, ag numerario' + CHAR(13) + CHAR(10) + 
'05/08/2024 - Solicitado prorrogação por mais 3 meses' + CHAR(13) + CHAR(10) + 
'25/07/2024 - Cobrado novamente' + CHAR(13) + CHAR(10) + 
'25/06/2024 - Cobrado procedimento a ser adotado' + CHAR(13) + CHAR(10) + 
'21/06/2024 - Juntada efetuada' + CHAR(13) + CHAR(10) + 
'19/06/2024 - Docs recebidos' + CHAR(13) + CHAR(10) + 
'10/06/2024 - Enviado Numerario, ag retorno' + CHAR(13) + CHAR(10) + 
'04/06/2024 -Solicitado prorrogação por mais 2 meses' + CHAR(13) + CHAR(10) + 
'03/06/2024 - Cobrado novamente' + CHAR(13) + CHAR(10) + 
'30/04/2024 - Cobrado procedimento a ser adotado' + CHAR(13) + CHAR(10) + 
'19/04/2024 - Juntada efetuada' + CHAR(13) + CHAR(10) + 
'12/04/2024 - Dcos recebidos' + CHAR(13) + CHAR(10) + 
'05/04/2024 - Numerario e TR enviados' + CHAR(13) + CHAR(10) + 
'04/04/2024 - Informado que será prorrogado por mais 2 meses' + CHAR(13) + CHAR(10) + 
'22/03/2024 - Cobrado novamente' + CHAR(13) + CHAR(10) + 
'23/02/2024 - Cobrado procedimento a ser adotado' + CHAR(13) + CHAR(10) + 
'18/09/2023 - Juntada efetuada pelo DOSSIE' + CHAR(13) + CHAR(10) + 
'04/09/2023 - Docs recebidos' + CHAR(13) + CHAR(10) + 
'27/07/2023 - Cobrado procedimento a ser adotado' + CHAR(13) + CHAR(10) + 
'21/07/2023 - Juntada da Apolice efetuada' + CHAR(13) + CHAR(10) + 
'20/07/2023 - Juntada efetuada sem Apolice, através do DOSSIE' + CHAR(13) + CHAR(10) + 
'18/07/2023 - Recebido docs, exceto Apolice' + CHAR(13) + CHAR(10) + 
'27/06/2023 - Numerario, TR e RPR enviados, ag retorno' + CHAR(13) + CHAR(10) + 
'21/06/2023 - Informado que será prorrogado por 2 meses' + CHAR(13) + CHAR(10) + 
'01/06/2023 - Cobrado procedimento a ser adotado' + CHAR(13) + CHAR(10) + 
'22/03/2023 - Recebido Apolice, juntado ao DOSSIE' + CHAR(13) + CHAR(10) + 
'21/03/2023 - Juntada efetuada, ag Apolice' + CHAR(13) + CHAR(10) + 
'21/03/2023 - Docs recebidos exceto Apolice.' + CHAR(13) + CHAR(10) + 
'01/02/2023 - Enviado Numerario, RPR e TR, aguardando retorno' + CHAR(13) + CHAR(10) + 
'26/01/2023 - Informado que a prorrogação será até 08/2023' + CHAR(13) + CHAR(10) + 
'24/01/2023 - Cobrado procedimento a ser adotado' + CHAR(13) + CHAR(10) + 
'20/12/2022 - Juntada efetuada no DOSSIE' + CHAR(13) + CHAR(10) + 
'19/12/2022 - Docs recebidos' + CHAR(13) + CHAR(10) + 
'22/11/2022 - Cobrado novamente' + CHAR(13) + CHAR(10) + 
'25/10/2022 - Cobrado procedimento a ser adotado' + CHAR(13) + CHAR(10) + 
'25/06/2021 - Processo incluido no controle'</v>
      </c>
      <c r="W8" t="str">
        <v>WHEN 6 THEN
'26/12/2024 - Cobrado procedimento a ser adotado' + CHAR(13) + CHAR(10) + 
'20/12/2024 - Juntada efetuada' + CHAR(13) + CHAR(10) + 
'19/12/2024 - Docs recebidos' + CHAR(13) + CHAR(10) + 
'25/11/2024 - Cobrado procedimento a ser adotado' + CHAR(13) + CHAR(10) + 
'21/11/2024 - Juntada efetuada' + CHAR(13) + CHAR(10) + 
'19/11/2024 - Docs recebidos' + CHAR(13) + CHAR(10) + 
'14/11/2024 - Numerario enviado, ag retorno' + CHAR(13) + CHAR(10) + 
'12/11/2024 - Solicitado prorrogação por mais 1 mes' + CHAR(13) + CHAR(10) + 
'30/09/2024 - Cobrado procedimento a ser adotado' + CHAR(13) + CHAR(10) + 
'21/08/2024 - Juntada efetuada' + CHAR(13) + CHAR(10) + 
'21/08/2024 - Docs recebidos' + CHAR(13) + CHAR(10) + 
'07/08/2024 - Numerario enviado, ag numerario' + CHAR(13) + CHAR(10) + 
'05/08/2024 - Solicitado prorrogação por mais 3 meses' + CHAR(13) + CHAR(10) + 
'25/07/2024 - Cobrado novamente' + CHAR(13) + CHAR(10) + 
'25/06/2024 - Cobrado procedimento a ser adotado' + CHAR(13) + CHAR(10) + 
'21/06/2024 - Juntada efetuada' + CHAR(13) + CHAR(10) + 
'19/06/2024 - Docs recebidos' + CHAR(13) + CHAR(10) + 
'10/06/2024 - Enviado Numerario, ag retorno' + CHAR(13) + CHAR(10) + 
'04/06/2024 -Solicitado prorrogação por mais 2 meses' + CHAR(13) + CHAR(10) + 
'03/06/2024 - Cobrado novamente' + CHAR(13) + CHAR(10) + 
'30/04/2024 - Cobrado procedimento a ser adotado' + CHAR(13) + CHAR(10) + 
'19/04/2024 - Juntada efetuada' + CHAR(13) + CHAR(10) + 
'12/04/2024 - Dcos recebidos' + CHAR(13) + CHAR(10) + 
'05/04/2024 - Numerario e TR enviados' + CHAR(13) + CHAR(10) + 
'04/04/2024 - Informado que será prorrogado por mais 2 meses' + CHAR(13) + CHAR(10) + 
'22/03/2024 - Cobrado novamente' + CHAR(13) + CHAR(10) + 
'23/02/2024 - Cobrado procedimento a ser adotado' + CHAR(13) + CHAR(10) + 
'18/09/2023 - Juntada efetuada pelo DOSSIE' + CHAR(13) + CHAR(10) + 
'04/09/2023 - Docs recebidos' + CHAR(13) + CHAR(10) + 
'27/07/2023 - Cobrado procedimento a ser adotado' + CHAR(13) + CHAR(10) + 
'21/07/2023 - Juntada da Apolice efetuada' + CHAR(13) + CHAR(10) + 
'20/07/2023 - Juntada efetuada sem Apolice, através do DOSSIE' + CHAR(13) + CHAR(10) + 
'18/07/2023 - Recebido docs, exceto Apolice' + CHAR(13) + CHAR(10) + 
'27/06/2023 - Numerario, TR e RPR enviados, ag retorno' + CHAR(13) + CHAR(10) + 
'21/06/2023 - Informado que será prorrogado por 2 meses' + CHAR(13) + CHAR(10) + 
'01/06/2023 - Cobrado procedimento a ser adotado' + CHAR(13) + CHAR(10) + 
'22/03/2023 - Recebido Apolice, juntado ao DOSSIE' + CHAR(13) + CHAR(10) + 
'21/03/2023 - Juntada efetuada, ag Apolice' + CHAR(13) + CHAR(10) + 
'21/03/2023 - Docs recebidos exceto Apolice.' + CHAR(13) + CHAR(10) + 
'01/02/2023 - Enviado Numerario, RPR e TR, aguardando retorno' + CHAR(13) + CHAR(10) + 
'26/01/2023 - Informado que a prorrogação será até 08/2023' + CHAR(13) + CHAR(10) + 
'24/01/2023 - Cobrado procedimento a ser adotado' + CHAR(13) + CHAR(10) + 
'20/12/2022 - Juntada efetuada no DOSSIE' + CHAR(13) + CHAR(10) + 
'19/12/2022 - Docs recebidos' + CHAR(13) + CHAR(10) + 
'22/11/2022 - Cobrado novamente' + CHAR(13) + CHAR(10) + 
'25/10/2022 - Cobrado procedimento a ser adotado' + CHAR(13) + CHAR(10) + 
'25/06/2021 - Processo incluido no controle'</v>
      </c>
      <c r="X8" t="str">
        <v>WHEN 6 THEN
'CAMINHÃO GUINDASTE SOBRE PNEU COM LANÇA TELESCÓPICA ATÉ 50 METROS, ADITIVO ESPECIAL CONECTADO JIB ATÉ 91 METROS, CAPACIDADE MÁXIMA DE ELEVAÇÃO 500 TONELADAS, COM 8 EIXOS TOTAIS SENDO 2 EIXOS FIXOS + 6 EIXOS DIRECIONÁVEIS, PARCIALMENTE DESMONTADO PARA TRANSPORTE E MANUSEIO, COM PEÇAS E ACESSÓRIOS PARA MONTAGEM E OPERAÇÃO. MARCA LIEBHERR, MODELO LTM1500-8.1, USADO, ANO DE FABRICAÇÃO 2017, NUMERO DE SÉRIE 095381.'</v>
      </c>
    </row>
    <row r="9" spans="1:24" ht="53.25" customHeight="1" x14ac:dyDescent="0.25">
      <c r="A9" t="str">
        <f>B9&amp;" - "&amp;COUNTIF($B$3:B9,B9)</f>
        <v>KARINA - 1</v>
      </c>
      <c r="B9" s="44" t="s">
        <v>60</v>
      </c>
      <c r="C9" s="45">
        <v>240010523748</v>
      </c>
      <c r="D9" s="46" t="s">
        <v>61</v>
      </c>
      <c r="E9" s="47" t="s">
        <v>62</v>
      </c>
      <c r="F9" s="48"/>
      <c r="G9" s="49"/>
      <c r="H9" s="50">
        <f t="shared" si="0"/>
        <v>45618</v>
      </c>
      <c r="I9" s="19">
        <f t="shared" si="1"/>
        <v>45648</v>
      </c>
      <c r="J9" s="51" t="s">
        <v>63</v>
      </c>
      <c r="K9" s="52" t="s">
        <v>64</v>
      </c>
      <c r="L9" s="53">
        <v>45679</v>
      </c>
      <c r="M9" s="54">
        <v>45467</v>
      </c>
      <c r="N9" s="55">
        <v>45468</v>
      </c>
      <c r="O9" s="24" t="s">
        <v>65</v>
      </c>
      <c r="P9" s="56">
        <v>51254159000173</v>
      </c>
      <c r="Q9" s="57"/>
      <c r="R9" s="58">
        <v>202400242169252</v>
      </c>
      <c r="S9" s="27"/>
      <c r="T9" s="59" t="s">
        <v>66</v>
      </c>
      <c r="U9" t="s">
        <v>531</v>
      </c>
      <c r="V9" t="str">
        <f t="shared" si="2"/>
        <v>'26/12/2024 - Cobrado procedimento a ser adotado' + CHAR(13) + CHAR(10) + 
'18/12/2024 - Juntada efetuada' + CHAR(13) + CHAR(10) + 
'18/12/2024 - Docs recebidos' + CHAR(13) + CHAR(10) + 
'27/11/2024 - Informado que será reimportado' + CHAR(13) + CHAR(10) + 
'27/11/2024 - Cobrado novamente' + CHAR(13) + CHAR(10) + 
'28/10/2024 - Cobrado procedimento a ser adotado' + CHAR(13) + CHAR(10) + 
'23/10/2024 - Juntada efetuada' + CHAR(13) + CHAR(10) + 
'23/10/2024 - Docs recebidos' + CHAR(13) + CHAR(10) + 
'09/09/2024 - Cobrado procedimento a ser adotado' + CHAR(13) + CHAR(10) + 
'11/07/2024 - Processo incluído no controle'</v>
      </c>
      <c r="W9" t="str">
        <v>WHEN 7 THEN
'26/12/2024 - Cobrado procedimento a ser adotado' + CHAR(13) + CHAR(10) + 
'18/12/2024 - Juntada efetuada' + CHAR(13) + CHAR(10) + 
'18/12/2024 - Docs recebidos' + CHAR(13) + CHAR(10) + 
'27/11/2024 - Informado que será reimportado' + CHAR(13) + CHAR(10) + 
'27/11/2024 - Cobrado novamente' + CHAR(13) + CHAR(10) + 
'28/10/2024 - Cobrado procedimento a ser adotado' + CHAR(13) + CHAR(10) + 
'23/10/2024 - Juntada efetuada' + CHAR(13) + CHAR(10) + 
'23/10/2024 - Docs recebidos' + CHAR(13) + CHAR(10) + 
'09/09/2024 - Cobrado procedimento a ser adotado' + CHAR(13) + CHAR(10) + 
'11/07/2024 - Processo incluído no controle'</v>
      </c>
      <c r="X9" t="str">
        <v>WHEN 7 THEN
'UNIDADE DE ACIONAMENTO EXTRUSORA E20 3F/1,1KW/I=16, DE MATERIAL EM AÇO, MODELO: M332.00256, NUMERO DE SERIE: 2021.3888.010.004, FABRICANTE: COLLIN LAB &amp; PILOT SOLUTIONS GMBH'</v>
      </c>
    </row>
    <row r="10" spans="1:24" ht="53.25" customHeight="1" x14ac:dyDescent="0.25">
      <c r="A10" t="str">
        <f>B10&amp;" - "&amp;COUNTIF($B$3:B10,B10)</f>
        <v>MEGASIL - 1</v>
      </c>
      <c r="B10" s="44" t="s">
        <v>67</v>
      </c>
      <c r="C10" s="45">
        <v>2102189170</v>
      </c>
      <c r="D10" s="46" t="s">
        <v>68</v>
      </c>
      <c r="E10" s="47" t="s">
        <v>69</v>
      </c>
      <c r="F10" s="48" t="s">
        <v>55</v>
      </c>
      <c r="G10" s="49">
        <v>152005271192929</v>
      </c>
      <c r="H10" s="50">
        <f t="shared" si="0"/>
        <v>45630</v>
      </c>
      <c r="I10" s="19">
        <f t="shared" si="1"/>
        <v>45661</v>
      </c>
      <c r="J10" s="20" t="s">
        <v>70</v>
      </c>
      <c r="K10" s="52" t="s">
        <v>71</v>
      </c>
      <c r="L10" s="53">
        <v>45692</v>
      </c>
      <c r="M10" s="54">
        <v>44230</v>
      </c>
      <c r="N10" s="55">
        <v>44231</v>
      </c>
      <c r="O10" s="61" t="s">
        <v>72</v>
      </c>
      <c r="P10" s="56">
        <v>2295964000130</v>
      </c>
      <c r="Q10" s="57"/>
      <c r="R10" s="58">
        <v>202100097363944</v>
      </c>
      <c r="S10" s="27"/>
      <c r="T10" s="60" t="s">
        <v>73</v>
      </c>
      <c r="U10" t="s">
        <v>529</v>
      </c>
      <c r="V10" t="str">
        <f t="shared" si="2"/>
        <v>'26/12/2024 - Cobrado procedimento a ser adotado' + CHAR(13) + CHAR(10) + 
'23/03/2021 - Processo incluido no controle'</v>
      </c>
      <c r="W10" t="str">
        <v>WHEN 8 THEN
'26/12/2024 - Cobrado procedimento a ser adotado' + CHAR(13) + CHAR(10) + 
'23/03/2021 - Processo incluido no controle'</v>
      </c>
      <c r="X10" t="str">
        <v>WHEN 8 THEN
'DIVERSOS EQUIPAMENTOS CONFORME DI'</v>
      </c>
    </row>
    <row r="11" spans="1:24" ht="53.25" customHeight="1" x14ac:dyDescent="0.25">
      <c r="A11" t="str">
        <f>B11&amp;" - "&amp;COUNTIF($B$3:B11,B11)</f>
        <v>DTA ENGENHARIA - 2</v>
      </c>
      <c r="B11" s="44" t="s">
        <v>45</v>
      </c>
      <c r="C11" s="45">
        <v>2412607809</v>
      </c>
      <c r="D11" s="46" t="s">
        <v>74</v>
      </c>
      <c r="E11" s="47" t="s">
        <v>75</v>
      </c>
      <c r="F11" s="48"/>
      <c r="G11" s="49"/>
      <c r="H11" s="62">
        <f t="shared" si="0"/>
        <v>45644</v>
      </c>
      <c r="I11" s="19">
        <f t="shared" si="1"/>
        <v>45675</v>
      </c>
      <c r="J11" s="51" t="s">
        <v>76</v>
      </c>
      <c r="K11" s="52" t="s">
        <v>77</v>
      </c>
      <c r="L11" s="53">
        <v>45706</v>
      </c>
      <c r="M11" s="54">
        <v>45457</v>
      </c>
      <c r="N11" s="55">
        <v>45461</v>
      </c>
      <c r="O11" s="24" t="s">
        <v>78</v>
      </c>
      <c r="P11" s="56">
        <v>2385674000187</v>
      </c>
      <c r="Q11" s="57"/>
      <c r="R11" s="58">
        <v>202400241046459</v>
      </c>
      <c r="S11" s="27"/>
      <c r="T11" s="59" t="s">
        <v>79</v>
      </c>
      <c r="U11" t="s">
        <v>530</v>
      </c>
      <c r="V11" t="str">
        <f t="shared" si="2"/>
        <v>'26/12/2024 - Cobrado procedimento a ser adotado' + CHAR(13) + CHAR(10) + 
'14/10/2024 - Juntada efetuada' + CHAR(13) + CHAR(10) + 
'14/10/2024 - Docs recebidos' + CHAR(13) + CHAR(10) + 
'07/10/2024 - Solicitado prorrogaçao por mais 3 meses, numerario e RPR enviados, ag retorno' + CHAR(13) + CHAR(10) + 
'14/08/2024 - Cobrado procedimento a ser adotado' + CHAR(13) + CHAR(10) + 
'22/07/2024 - Processo incluído no controle'</v>
      </c>
      <c r="W11" t="str">
        <v>WHEN 9 THEN
'26/12/2024 - Cobrado procedimento a ser adotado' + CHAR(13) + CHAR(10) + 
'14/10/2024 - Juntada efetuada' + CHAR(13) + CHAR(10) + 
'14/10/2024 - Docs recebidos' + CHAR(13) + CHAR(10) + 
'07/10/2024 - Solicitado prorrogaçao por mais 3 meses, numerario e RPR enviados, ag retorno' + CHAR(13) + CHAR(10) + 
'14/08/2024 - Cobrado procedimento a ser adotado' + CHAR(13) + CHAR(10) + 
'22/07/2024 - Processo incluído no controle'</v>
      </c>
      <c r="X11" t="str">
        <v>WHEN 9 THEN
'DRAGA TSHD DE SUCÇÃO EM MOVIMENTO, M/V ELBE, CONSTRUÍDA EM 2007 NO ESTALEIRO BEN KIEN SHIPYARD, VIETNAM, REGISTRADA NO PORTO DE SLIEDRECH, DE BANDEIRA DOS PAISES BAIXOS, IMO NUMERO 9452842, INDICATIVO PBMK, A EMBARCAÇÃO ESTÁ EQUIPADO COM UM SISTEMA DE SUCÇÃO DE REBOQUE, DESPEJO E DESCARGA DE AREIA E LODO. ESTÁ EQUIPADA DE SALA DE MÁQUINAS, SALA DE BOMBA, LOJA DE TINTAS, QUARTO COM AR CONDICIONADO, SALA DE LEME, SALA DE HIDRÁULICA, 2 HOPPER (1 A BOMBORDO E 1 A ESTIBORDO), SALA DE CONVERSOR, SALA DE GERADOR, DE EMERGÊNCIA E PONTE. O NAVIO É EQUIPADO COM UM ALOJAMENTO PARA 13 PESSOAS. DRAGA AVALIADA EM 5.000.000,00 DIMENSÕES: COMPRIMENTO SOBRE TUDO: 77,15 M COMPRIMENTO PERPENDICULARES: 71,80 M BOCA MOLDADA: 15,00 M PROFUNDIDADE MEIA NAU MOLDADO: 5,70 M PROJECTO DE VERÃO: 4,45 M DRAGA PROJECTO: 6,10 M ALTURA: 28,85 M TONELAGEM (T): TONELAGEM BRUTA: 2472 TONELAGEM LIQUIDA: 741 PESO MORTO: 3341 MT CAPACIDADE HOPPER (TOPO DA BRAÇOLA): 2.800 M3 TUBO DE SUCÇÃO EM MOVIMENTO: 1 COM 800 MILÍMETROS DE DIÂMETRO TUBO DE DESCARGA PARA HOPER: 800 MILÍMETROS DE DIÂMETRO TUBO DE DESCARGA PARA TERRA: 600 MILÍMETROS DE DIÂMETRO PROFUNDIDADE DE DRAGAGEM: 30M VELOCIDADE MÁXIMA: 10,3 NÓS TOTAL DE ENERGIA A DIESEL INSTALADOS: 2.529 KW MOTORES PRICIPAIS: 2 MOTORES DIESEL DE 12 CILINDROS, MITSUBISHI, TIPO S12RMPTK, CADA UM DE 940 KW NOMINAL DE 1,600 RPM, DIRIGINDO UMA HÉLICE DE PASSO FIXO ATRAVÉS DE UMA CAIXA REDUTORA MASON. MOTORES AUXILIARES: 3 MOTORES DIESEL DE 6 CILINDROS, JOHN DEERE, TIPO 6090AFM85, DE 192KW NOMINAL DE 1,500 RPM, DE UNICA DIREÇÃO. MOTOR DE EMERGÊNCIA: 1 MOTOR DIESEL DE 6 CILINDROS, MITSUBISHI,TIPO 6D16T DE 106 KW NOMINAL DE 1500 RPM, DE UNICA DIREÇÃO. HÉLICES: 2 HÉLICES DE 5 PÁS DE BRONZE DE PASSO E BICOS FIXOS. MOTOR PROA: 1 MOTOR DIESEL, MITSUBSHI, HÉLICE DE PASSO FIXO CONDUZIDO EM TÚNEL DE 360KW. BOMBA DE DRAGAGEM: 1 BOMBA PARA DRAGAGEM VOSTA, TIPO VL 750, IMPULSIONADA POR UM MOTOR A DIESEL DE 870 KW MITSUBISHI, VIA CAIXA DE REDUÇÃO STORK. BOMBA DE MOVIMENTO: 1 BOMBA DE MOVIMENTO VOSTA, TIPO VL 750, IMPULSIONADA POR UM MOTOR A DIESEL DE 870 KW MITSUBISHI, VIA CAIXA DE REDUÇÃO STORK. BOMBAS DE JATO DE ÁGUA: 1 BOMBA GIW DE 2300 M3/H, DE 8 BAR, IMPULSIONADA POR UM MOTOR DIESEL, MITSHUBISHI DE 634 KW, COM REDUÇÃO VIA CAIXA MASON. CAPACIDADE DOS TANQUES DE: ÓLEO COMBUSTÍVEL: 219,0 M3 ÓLEOS LUBRIFICANTES: 13,0 M3 ÁGUA DOCE: 91,0 M3 GUINDASTES: 2 GRUAS HIDRÁULICAS PALFINGER, TIPO SWM, DE 7 TON ATÉ 10M. ACOMODAÇÕES: AS ACOMODAÇÕES CONSISTEM DE 5 DECKS. MEIOS DE SALVAÇÃO: 2 BOTES SALVA-VIDAS PARA CADA 16 PESSOAS, 1 BARCO MOB COM MOTOR DE POPA DE 25 HP.'</v>
      </c>
    </row>
    <row r="12" spans="1:24" ht="53.25" customHeight="1" x14ac:dyDescent="0.25">
      <c r="A12" t="str">
        <f>B12&amp;" - "&amp;COUNTIF($B$3:B12,B12)</f>
        <v>NEA TANKS - 1</v>
      </c>
      <c r="B12" s="44" t="s">
        <v>80</v>
      </c>
      <c r="C12" s="45">
        <v>240003252912</v>
      </c>
      <c r="D12" s="46" t="s">
        <v>81</v>
      </c>
      <c r="E12" s="47"/>
      <c r="F12" s="48"/>
      <c r="G12" s="49"/>
      <c r="H12" s="50">
        <f t="shared" si="0"/>
        <v>45666</v>
      </c>
      <c r="I12" s="19">
        <f t="shared" si="1"/>
        <v>45697</v>
      </c>
      <c r="J12" s="51" t="s">
        <v>82</v>
      </c>
      <c r="K12" s="35" t="s">
        <v>71</v>
      </c>
      <c r="L12" s="53">
        <v>45725</v>
      </c>
      <c r="M12" s="54">
        <v>45349</v>
      </c>
      <c r="N12" s="55">
        <v>45350</v>
      </c>
      <c r="O12" s="24" t="s">
        <v>83</v>
      </c>
      <c r="P12" s="56">
        <v>10567976000102</v>
      </c>
      <c r="Q12" s="57"/>
      <c r="R12" s="58">
        <v>202400227845285</v>
      </c>
      <c r="S12" s="27"/>
      <c r="T12" s="59" t="s">
        <v>84</v>
      </c>
      <c r="U12" t="s">
        <v>531</v>
      </c>
      <c r="V12" t="str">
        <f t="shared" si="2"/>
        <v>'29/11/2024 - Juntada efetuada' + CHAR(13) + CHAR(10) + 
'27/11/2024 - Docs recebidos' + CHAR(13) + CHAR(10) + 
'27/11/2024 - Cobrado novamente' + CHAR(13) + CHAR(10) + 
'18/10/2024 - Cobrado procedimento a ser adotado' + CHAR(13) + CHAR(10) + 
'09/10/2024 - Juntada efetuada' + CHAR(13) + CHAR(10) + 
'04/10/2024 - Docs recebidos' + CHAR(13) + CHAR(10) + 
'14/08/2024 - Cobrado procedimento a ser adotado' + CHAR(13) + CHAR(10) + 
'15/04/2024 - Processo incluído no controle'</v>
      </c>
      <c r="W12" t="str">
        <v>WHEN 10 THEN
'29/11/2024 - Juntada efetuada' + CHAR(13) + CHAR(10) + 
'27/11/2024 - Docs recebidos' + CHAR(13) + CHAR(10) + 
'27/11/2024 - Cobrado novamente' + CHAR(13) + CHAR(10) + 
'18/10/2024 - Cobrado procedimento a ser adotado' + CHAR(13) + CHAR(10) + 
'09/10/2024 - Juntada efetuada' + CHAR(13) + CHAR(10) + 
'04/10/2024 - Docs recebidos' + CHAR(13) + CHAR(10) + 
'14/08/2024 - Cobrado procedimento a ser adotado' + CHAR(13) + CHAR(10) + 
'15/04/2024 - Processo incluído no controle'</v>
      </c>
      <c r="X12" t="str">
        <v>WHEN 10 THEN
'DIVERSOS EQUIPAMENTOS CONFORME DI'</v>
      </c>
    </row>
    <row r="13" spans="1:24" ht="53.25" customHeight="1" x14ac:dyDescent="0.25">
      <c r="A13" t="str">
        <f>B13&amp;" - "&amp;COUNTIF($B$3:B13,B13)</f>
        <v>NEA TANKS - 2</v>
      </c>
      <c r="B13" s="44" t="s">
        <v>80</v>
      </c>
      <c r="C13" s="31">
        <v>240000198208</v>
      </c>
      <c r="D13" s="32" t="s">
        <v>85</v>
      </c>
      <c r="E13" s="30"/>
      <c r="F13" s="48"/>
      <c r="G13" s="34"/>
      <c r="H13" s="18">
        <f t="shared" si="0"/>
        <v>45666</v>
      </c>
      <c r="I13" s="63">
        <f t="shared" si="1"/>
        <v>45697</v>
      </c>
      <c r="J13" s="51" t="s">
        <v>86</v>
      </c>
      <c r="K13" s="52" t="s">
        <v>87</v>
      </c>
      <c r="L13" s="36">
        <v>45725</v>
      </c>
      <c r="M13" s="37">
        <v>45296</v>
      </c>
      <c r="N13" s="23">
        <v>45303</v>
      </c>
      <c r="O13" s="24" t="s">
        <v>83</v>
      </c>
      <c r="P13" s="56">
        <v>10567976000102</v>
      </c>
      <c r="Q13" s="26"/>
      <c r="R13" s="27">
        <v>202400222101024</v>
      </c>
      <c r="S13" s="27"/>
      <c r="T13" s="64" t="s">
        <v>88</v>
      </c>
      <c r="U13" t="s">
        <v>531</v>
      </c>
      <c r="V13" t="str">
        <f t="shared" si="2"/>
        <v>'29/11/2024 - Juntada efetuada' + CHAR(13) + CHAR(10) + 
'27/11/2024 - Cobrado novamente, docs recebidos' + CHAR(13) + CHAR(10) + 
'18/10/2024 - Cobrado procedimento a ser adotado' + CHAR(13) + CHAR(10) + 
'09/10/2024 - Juntada efetuada' + CHAR(13) + CHAR(10) + 
'04/10/2024 - Docs recebidos' + CHAR(13) + CHAR(10) + 
'14/08/2024 - Cobrado procedimento a ser adotado' + CHAR(13) + CHAR(10) + 
'16/02/2024 - Processo incluido no controle'</v>
      </c>
      <c r="W13" t="str">
        <v>WHEN 11 THEN
'29/11/2024 - Juntada efetuada' + CHAR(13) + CHAR(10) + 
'27/11/2024 - Cobrado novamente, docs recebidos' + CHAR(13) + CHAR(10) + 
'18/10/2024 - Cobrado procedimento a ser adotado' + CHAR(13) + CHAR(10) + 
'09/10/2024 - Juntada efetuada' + CHAR(13) + CHAR(10) + 
'04/10/2024 - Docs recebidos' + CHAR(13) + CHAR(10) + 
'14/08/2024 - Cobrado procedimento a ser adotado' + CHAR(13) + CHAR(10) + 
'16/02/2024 - Processo incluido no controle'</v>
      </c>
      <c r="X13" t="str">
        <v>WHEN 11 THEN
'DIVERSOS EQUIPAMENTOS CONFORME DUE'</v>
      </c>
    </row>
    <row r="14" spans="1:24" ht="53.25" customHeight="1" x14ac:dyDescent="0.25">
      <c r="A14" t="str">
        <f>B14&amp;" - "&amp;COUNTIF($B$3:B14,B14)</f>
        <v>MAMMOET - 6</v>
      </c>
      <c r="B14" s="44" t="s">
        <v>19</v>
      </c>
      <c r="C14" s="45">
        <v>2105759393</v>
      </c>
      <c r="D14" s="46" t="s">
        <v>89</v>
      </c>
      <c r="E14" s="44" t="s">
        <v>90</v>
      </c>
      <c r="F14" s="48" t="s">
        <v>55</v>
      </c>
      <c r="G14" s="49">
        <v>132105065072039</v>
      </c>
      <c r="H14" s="18">
        <f t="shared" si="0"/>
        <v>45683</v>
      </c>
      <c r="I14" s="19">
        <f t="shared" si="1"/>
        <v>45714</v>
      </c>
      <c r="J14" s="51" t="s">
        <v>91</v>
      </c>
      <c r="K14" s="65" t="s">
        <v>92</v>
      </c>
      <c r="L14" s="53">
        <v>45742</v>
      </c>
      <c r="M14" s="54">
        <v>44279</v>
      </c>
      <c r="N14" s="55">
        <v>44281</v>
      </c>
      <c r="O14" s="24" t="s">
        <v>93</v>
      </c>
      <c r="P14" s="56">
        <v>11426377000638</v>
      </c>
      <c r="Q14" s="57"/>
      <c r="R14" s="58">
        <v>202100103816828</v>
      </c>
      <c r="S14" s="28">
        <v>46105</v>
      </c>
      <c r="T14" s="60" t="s">
        <v>94</v>
      </c>
      <c r="U14" t="s">
        <v>529</v>
      </c>
      <c r="V14" t="str">
        <f t="shared" si="2"/>
        <v>'26/12/2024 - Juntada efetuada' + CHAR(13) + CHAR(10) + 
'23/12/2024 - Docs recebidos' + CHAR(13) + CHAR(10) + 
'29/11/2024 - Numerario enviado, ag retorno' + CHAR(13) + CHAR(10) + 
'28/11/2024 - Solicitado prorrogaçao por mais 3 mese' + CHAR(13) + CHAR(10) + 
'27/11/2024 - Cobrado procedimento a ser adotado' + CHAR(13) + CHAR(10) + 
'26/11/2024 - Juntada efetuada' + CHAR(13) + CHAR(10) + 
'22/11/2024 - Docs recebidos' + CHAR(13) + CHAR(10) + 
'14/11/2024 - Numerario enviado, ag retorno' + CHAR(13) + CHAR(10) + 
'12/11/2024 - Solicitado prorrogaçao por mais 1 mes' + CHAR(13) + CHAR(10) + 
'30/09/2024 - Cobrado procedimento a ser adotado' + CHAR(13) + CHAR(10) + 
'26/06/2024 - Juntada efetuada' + CHAR(13) + CHAR(10) + 
'26/06/2024 - Docs recebidos' + CHAR(13) + CHAR(10) + 
'14/06/2024 - Enviado Numerario, ag retorno' + CHAR(13) + CHAR(10) + 
'13/06/2024 - Solicitado prorrogação por mais 5 meses' + CHAR(13) + CHAR(10) + 
'03/06/2024 - Cobrado novamente' + CHAR(13) + CHAR(10) + 
'30/04/2024 - Cobrado procedimento a ser adotado' + CHAR(13) + CHAR(10) + 
'26/04/2024 - Juntada efetuada' + CHAR(13) + CHAR(10) + 
'19/04/2024 - Docs recebidos' + CHAR(13) + CHAR(10) + 
'05/04/2024 - Numerario e RPR enviados, ag retorno' + CHAR(13) + CHAR(10) + 
'04/04/2024 - Informado que será prorrogado por mais 2 meses' + CHAR(13) + CHAR(10) + 
'28/02/2024 - Cobrado procedimento a ser adotado' + CHAR(13) + CHAR(10) + 
'25/10/2023 - Juntada efetuada' + CHAR(13) + CHAR(10) + 
'23/10/2023 - Docs recebidos' + CHAR(13) + CHAR(10) + 
'06/10/2023 - RPR, TR e Numerario enviados, ag retorno' + CHAR(13) + CHAR(10) + 
'03/10/2023 - Solicitado prorrogação por mais 6 meses' + CHAR(13) + CHAR(10) + 
'30/08/2023 - Cobrado procedimento a ser adotado' + CHAR(13) + CHAR(10) + 
'25/07/2023 - Juntada efetuada atraves do DOSSIE' + CHAR(13) + CHAR(10) + 
'21/07/2023 - Docs recebidos' + CHAR(13) + CHAR(10) + 
'27/06/2023 - Enviado Numerario, TR e RPR, ag retorno' + CHAR(13) + CHAR(10) + 
'22/06/2023 - Solicitado renovação por 3 meses' + CHAR(13) + CHAR(10) + 
'01/06/2023 - Cobrado procedimento a ser adotado' + CHAR(13) + CHAR(10) + 
'23/03/2023 - Juntada efetuada através do DOSSIE' + CHAR(13) + CHAR(10) + 
'20/03/2023 - Recebido documentação' + CHAR(13) + CHAR(10) + 
'28/02/2023 - Cobrado novamente' + CHAR(13) + CHAR(10) + 
'31/01/2023 - Cobrado procedimento a ser adotado' + CHAR(13) + CHAR(10) + 
'25/03/2022 - Juntada anexada através do DOSSIE' + CHAR(13) + CHAR(10) + 
'17/02/2022 - Solicitado prorrogação por 12 meses, TR, RAT e Numerário enviados, aguardando retorno' + CHAR(13) + CHAR(10) + 
'27/01/2022 - Cobrado procedimento a ser adotado' + CHAR(13) + CHAR(10) + 
'24/09/2021 - Recebido documentos, juntada efetuada pelo DOSSIE' + CHAR(13) + CHAR(10) + 
'20/09/2021 - Cobrado novamente' + CHAR(13) + CHAR(10) + 
'27/08/2021 - Cobrado novamente, solicitado prorrogação por 6 meses, TR e Numerario enviados, aguardando retorno' + CHAR(13) + CHAR(10) + 
'27/07/2021 - Cobrado procedimento a ser adotado' + CHAR(13) + CHAR(10) + 
'11/05/2021 - Processo incluído no controle'</v>
      </c>
      <c r="W14" t="str">
        <v>WHEN 12 THEN
'26/12/2024 - Juntada efetuada' + CHAR(13) + CHAR(10) + 
'23/12/2024 - Docs recebidos' + CHAR(13) + CHAR(10) + 
'29/11/2024 - Numerario enviado, ag retorno' + CHAR(13) + CHAR(10) + 
'28/11/2024 - Solicitado prorrogaçao por mais 3 mese' + CHAR(13) + CHAR(10) + 
'27/11/2024 - Cobrado procedimento a ser adotado' + CHAR(13) + CHAR(10) + 
'26/11/2024 - Juntada efetuada' + CHAR(13) + CHAR(10) + 
'22/11/2024 - Docs recebidos' + CHAR(13) + CHAR(10) + 
'14/11/2024 - Numerario enviado, ag retorno' + CHAR(13) + CHAR(10) + 
'12/11/2024 - Solicitado prorrogaçao por mais 1 mes' + CHAR(13) + CHAR(10) + 
'30/09/2024 - Cobrado procedimento a ser adotado' + CHAR(13) + CHAR(10) + 
'26/06/2024 - Juntada efetuada' + CHAR(13) + CHAR(10) + 
'26/06/2024 - Docs recebidos' + CHAR(13) + CHAR(10) + 
'14/06/2024 - Enviado Numerario, ag retorno' + CHAR(13) + CHAR(10) + 
'13/06/2024 - Solicitado prorrogação por mais 5 meses' + CHAR(13) + CHAR(10) + 
'03/06/2024 - Cobrado novamente' + CHAR(13) + CHAR(10) + 
'30/04/2024 - Cobrado procedimento a ser adotado' + CHAR(13) + CHAR(10) + 
'26/04/2024 - Juntada efetuada' + CHAR(13) + CHAR(10) + 
'19/04/2024 - Docs recebidos' + CHAR(13) + CHAR(10) + 
'05/04/2024 - Numerario e RPR enviados, ag retorno' + CHAR(13) + CHAR(10) + 
'04/04/2024 - Informado que será prorrogado por mais 2 meses' + CHAR(13) + CHAR(10) + 
'28/02/2024 - Cobrado procedimento a ser adotado' + CHAR(13) + CHAR(10) + 
'25/10/2023 - Juntada efetuada' + CHAR(13) + CHAR(10) + 
'23/10/2023 - Docs recebidos' + CHAR(13) + CHAR(10) + 
'06/10/2023 - RPR, TR e Numerario enviados, ag retorno' + CHAR(13) + CHAR(10) + 
'03/10/2023 - Solicitado prorrogação por mais 6 meses' + CHAR(13) + CHAR(10) + 
'30/08/2023 - Cobrado procedimento a ser adotado' + CHAR(13) + CHAR(10) + 
'25/07/2023 - Juntada efetuada atraves do DOSSIE' + CHAR(13) + CHAR(10) + 
'21/07/2023 - Docs recebidos' + CHAR(13) + CHAR(10) + 
'27/06/2023 - Enviado Numerario, TR e RPR, ag retorno' + CHAR(13) + CHAR(10) + 
'22/06/2023 - Solicitado renovação por 3 meses' + CHAR(13) + CHAR(10) + 
'01/06/2023 - Cobrado procedimento a ser adotado' + CHAR(13) + CHAR(10) + 
'23/03/2023 - Juntada efetuada através do DOSSIE' + CHAR(13) + CHAR(10) + 
'20/03/2023 - Recebido documentação' + CHAR(13) + CHAR(10) + 
'28/02/2023 - Cobrado novamente' + CHAR(13) + CHAR(10) + 
'31/01/2023 - Cobrado procedimento a ser adotado' + CHAR(13) + CHAR(10) + 
'25/03/2022 - Juntada anexada através do DOSSIE' + CHAR(13) + CHAR(10) + 
'17/02/2022 - Solicitado prorrogação por 12 meses, TR, RAT e Numerário enviados, aguardando retorno' + CHAR(13) + CHAR(10) + 
'27/01/2022 - Cobrado procedimento a ser adotado' + CHAR(13) + CHAR(10) + 
'24/09/2021 - Recebido documentos, juntada efetuada pelo DOSSIE' + CHAR(13) + CHAR(10) + 
'20/09/2021 - Cobrado novamente' + CHAR(13) + CHAR(10) + 
'27/08/2021 - Cobrado novamente, solicitado prorrogação por 6 meses, TR e Numerario enviados, aguardando retorno' + CHAR(13) + CHAR(10) + 
'27/07/2021 - Cobrado procedimento a ser adotado' + CHAR(13) + CHAR(10) + 
'11/05/2021 - Processo incluído no controle'</v>
      </c>
      <c r="X14" t="str">
        <v>WHEN 12 THEN
'CONJUNTO DE TRILHA ESTREITA USADO PARA GUINDASTE TEREX DEMAG CC 2800 - 1 COM TODAS AS PEÇAS E ACESSÓRIOS PARA MONTAGEM E OPERAÇÃO, MARCA: TEREX DEMAG, MODELO: CC 2800-1, SEM NÚMERO DE SERIE, ANO DE FABRICAÇÃO 2006. UMA SEÇAO DE JIB/LANÇA DE 12 METROS USADA PARA GUINDASTE TEREX-DEMAG CC 2800-1 COM TODAS AS PEÇAS E ACESSÓRIOS PARA MONTAGEM E OPERAÇÃO, MARCA: TEREX DEMAG, MODELO: CC 2800-1, SEM NUMERO DE SÉRIE, ANO DE FABRICAÇÃO 2006.0'</v>
      </c>
    </row>
    <row r="15" spans="1:24" ht="53.25" customHeight="1" x14ac:dyDescent="0.25">
      <c r="A15" t="str">
        <f>B15&amp;" - "&amp;COUNTIF($B$3:B15,B15)</f>
        <v>MAMMOET - 7</v>
      </c>
      <c r="B15" s="44" t="s">
        <v>19</v>
      </c>
      <c r="C15" s="31">
        <v>2306782082</v>
      </c>
      <c r="D15" s="32" t="s">
        <v>95</v>
      </c>
      <c r="E15" s="13" t="s">
        <v>96</v>
      </c>
      <c r="F15" s="33" t="s">
        <v>21</v>
      </c>
      <c r="G15" s="34">
        <v>132305053620239</v>
      </c>
      <c r="H15" s="66">
        <f t="shared" si="0"/>
        <v>45685</v>
      </c>
      <c r="I15" s="63">
        <f t="shared" si="1"/>
        <v>45716</v>
      </c>
      <c r="J15" s="51" t="s">
        <v>97</v>
      </c>
      <c r="K15" s="67" t="s">
        <v>98</v>
      </c>
      <c r="L15" s="68">
        <v>45746</v>
      </c>
      <c r="M15" s="37">
        <v>45026</v>
      </c>
      <c r="N15" s="23">
        <v>45029</v>
      </c>
      <c r="O15" s="69" t="s">
        <v>99</v>
      </c>
      <c r="P15" s="70">
        <v>11426377000123</v>
      </c>
      <c r="Q15" s="71"/>
      <c r="R15" s="72">
        <v>202300188957138</v>
      </c>
      <c r="S15" s="73"/>
      <c r="T15" s="21" t="s">
        <v>100</v>
      </c>
      <c r="U15" t="s">
        <v>529</v>
      </c>
      <c r="V15" t="str">
        <f t="shared" si="2"/>
        <v>'29/11/2024 - Juntada efetuada' + CHAR(13) + CHAR(10) + 
'27/11/2024 - Docs recebidos' + CHAR(13) + CHAR(10) + 
'25/11/2024 - Numerario enviado, ag retorno' + CHAR(13) + CHAR(10) + 
'22/11/2024 - Solicitado prorrogaçao por mais 4 meses' + CHAR(13) + CHAR(10) + 
'30/09/2024 - Cobrado procedimento a ser adotado' + CHAR(13) + CHAR(10) + 
'30/08/2024 - Juntada efetuada' + CHAR(13) + CHAR(10) + 
'29/08/2024 - Docs recebidos' + CHAR(13) + CHAR(10) + 
'22/08/2024 - Numerario e RPR enviados, ag retorno' + CHAR(13) + CHAR(10) + 
'21/08/2024 - Prorrogação por mais 3 meses' + CHAR(13) + CHAR(10) + 
'14/08/2024 - Cobrado novamente' + CHAR(13) + CHAR(10) + 
'02/07/2024 - Cobrado procedimento a ser adotado' + CHAR(13) + CHAR(10) + 
'25/06/2024 - Juntada efetuada' + CHAR(13) + CHAR(10) + 
'25/06/2024 - Docs recebidos' + CHAR(13) + CHAR(10) + 
'17/06/2024 - Numerario enviado, ag retorno' + CHAR(13) + CHAR(10) + 
'13/06/2024 - Prorrogaçao por mais 2 meses' + CHAR(13) + CHAR(10) + 
'30/04/2024 - Cobrado procedimento a ser adotado' + CHAR(13) + CHAR(10) + 
'28/03/2024 - Juntada efetuada' + CHAR(13) + CHAR(10) + 
'27/03/2024 - Recebido docs' + CHAR(13) + CHAR(10) + 
'13/03/2024 - Enviado Numerario e RPR, ag retorno' + CHAR(13) + CHAR(10) + 
'12/03/2024 - Solicitado prorrogação por mais 3 meses' + CHAR(13) + CHAR(10) + 
'01/02/2024 - Cobrado procedimento a ser adotado' + CHAR(13) + CHAR(10) + 
'27/10/2023 - Juntada efetuada' + CHAR(13) + CHAR(10) + 
'26/10/2023 - Docs recebidos' + CHAR(13) + CHAR(10) + 
'06/10/2023 - RPR e Numerario enviados, ag retorno' + CHAR(13) + CHAR(10) + 
'03/10/2023 - Solicitado prorrogação por mais 5 meses' + CHAR(13) + CHAR(10) + 
'30/08/2023 - Cobrado procedimento a ser adotado' + CHAR(13) + CHAR(10) + 
'11/07/2023 - Processo incluido no controle'</v>
      </c>
      <c r="W15" t="str">
        <v>WHEN 13 THEN
'29/11/2024 - Juntada efetuada' + CHAR(13) + CHAR(10) + 
'27/11/2024 - Docs recebidos' + CHAR(13) + CHAR(10) + 
'25/11/2024 - Numerario enviado, ag retorno' + CHAR(13) + CHAR(10) + 
'22/11/2024 - Solicitado prorrogaçao por mais 4 meses' + CHAR(13) + CHAR(10) + 
'30/09/2024 - Cobrado procedimento a ser adotado' + CHAR(13) + CHAR(10) + 
'30/08/2024 - Juntada efetuada' + CHAR(13) + CHAR(10) + 
'29/08/2024 - Docs recebidos' + CHAR(13) + CHAR(10) + 
'22/08/2024 - Numerario e RPR enviados, ag retorno' + CHAR(13) + CHAR(10) + 
'21/08/2024 - Prorrogação por mais 3 meses' + CHAR(13) + CHAR(10) + 
'14/08/2024 - Cobrado novamente' + CHAR(13) + CHAR(10) + 
'02/07/2024 - Cobrado procedimento a ser adotado' + CHAR(13) + CHAR(10) + 
'25/06/2024 - Juntada efetuada' + CHAR(13) + CHAR(10) + 
'25/06/2024 - Docs recebidos' + CHAR(13) + CHAR(10) + 
'17/06/2024 - Numerario enviado, ag retorno' + CHAR(13) + CHAR(10) + 
'13/06/2024 - Prorrogaçao por mais 2 meses' + CHAR(13) + CHAR(10) + 
'30/04/2024 - Cobrado procedimento a ser adotado' + CHAR(13) + CHAR(10) + 
'28/03/2024 - Juntada efetuada' + CHAR(13) + CHAR(10) + 
'27/03/2024 - Recebido docs' + CHAR(13) + CHAR(10) + 
'13/03/2024 - Enviado Numerario e RPR, ag retorno' + CHAR(13) + CHAR(10) + 
'12/03/2024 - Solicitado prorrogação por mais 3 meses' + CHAR(13) + CHAR(10) + 
'01/02/2024 - Cobrado procedimento a ser adotado' + CHAR(13) + CHAR(10) + 
'27/10/2023 - Juntada efetuada' + CHAR(13) + CHAR(10) + 
'26/10/2023 - Docs recebidos' + CHAR(13) + CHAR(10) + 
'06/10/2023 - RPR e Numerario enviados, ag retorno' + CHAR(13) + CHAR(10) + 
'03/10/2023 - Solicitado prorrogação por mais 5 meses' + CHAR(13) + CHAR(10) + 
'30/08/2023 - Cobrado procedimento a ser adotado' + CHAR(13) + CHAR(10) + 
'11/07/2023 - Processo incluido no controle'</v>
      </c>
      <c r="X15" t="str">
        <v>WHEN 13 THEN
'POWER PACK DE MOVIMENTO RETILÍNEO (CILINDROS), MARCA GOLDHOFER AKTIENGESELLSCHAFT, MODELO PFV-490/60-31, NÚMERO DE SÉRIE 61402, FROTA 302920, ANO DE FABRICAÇÃO 2016, USADO, COM DISPOSITIVOS E FERRAMENTAS DE MONTAGEM E ACESSÓRIOS NECESSÁRIOS PARA OPERAÇÃO.'</v>
      </c>
    </row>
    <row r="16" spans="1:24" ht="53.25" customHeight="1" x14ac:dyDescent="0.25">
      <c r="A16" t="str">
        <f>B16&amp;" - "&amp;COUNTIF($B$3:B16,B16)</f>
        <v>MAMMOET - 8</v>
      </c>
      <c r="B16" s="44" t="s">
        <v>19</v>
      </c>
      <c r="C16" s="45">
        <v>2308248563</v>
      </c>
      <c r="D16" s="46" t="s">
        <v>101</v>
      </c>
      <c r="E16" s="47" t="s">
        <v>102</v>
      </c>
      <c r="F16" s="48" t="s">
        <v>21</v>
      </c>
      <c r="G16" s="49">
        <v>132305077973964</v>
      </c>
      <c r="H16" s="74">
        <f t="shared" si="0"/>
        <v>45691</v>
      </c>
      <c r="I16" s="19">
        <f t="shared" si="1"/>
        <v>45719</v>
      </c>
      <c r="J16" s="51" t="s">
        <v>97</v>
      </c>
      <c r="K16" s="67" t="s">
        <v>103</v>
      </c>
      <c r="L16" s="68">
        <v>45750</v>
      </c>
      <c r="M16" s="54">
        <v>45044</v>
      </c>
      <c r="N16" s="55">
        <v>45056</v>
      </c>
      <c r="O16" s="69" t="s">
        <v>99</v>
      </c>
      <c r="P16" s="70">
        <v>11426377000123</v>
      </c>
      <c r="Q16" s="75"/>
      <c r="R16" s="76">
        <v>202300191329045</v>
      </c>
      <c r="S16" s="73">
        <v>46871</v>
      </c>
      <c r="T16" s="59" t="s">
        <v>104</v>
      </c>
      <c r="U16" t="s">
        <v>529</v>
      </c>
      <c r="V16" t="str">
        <f t="shared" si="2"/>
        <v>'29/11/2024 - Juntada efetuada' + CHAR(13) + CHAR(10) + 
'28/11/2024 - Docs recebidos' + CHAR(13) + CHAR(10) + 
'25/11/2024 - Numerario enviado, ag retorno' + CHAR(13) + CHAR(10) + 
'22/11/2024 - Solicitado prorrogaçao por mais 4 meses' + CHAR(13) + CHAR(10) + 
'07/10/2024 - Cobrado procedimento a ser adotado' + CHAR(13) + CHAR(10) + 
'03/09/2024 - Juntada efetuada' + CHAR(13) + CHAR(10) + 
'29/08/2024 - Docs recebidos' + CHAR(13) + CHAR(10) + 
'22/08/2024 - Numerario e RPR enviados' + CHAR(13) + CHAR(10) + 
'21/08/2024 - Solicitado prorrogaçao por mais 3 meses' + CHAR(13) + CHAR(10) + 
'14/08/2024 - Cobrado novamente' + CHAR(13) + CHAR(10) + 
'05/07/2024 - Cobrado procedimento a ser adotado' + CHAR(13) + CHAR(10) + 
'24/06/2024 - Juntada efetuada' + CHAR(13) + CHAR(10) + 
'17/06/2024 - Docs recebidos' + CHAR(13) + CHAR(10) + 
'17/06/2024 - Numerario enviado, ag retorno' + CHAR(13) + CHAR(10) + 
'13/06/2024 - Prorrogação por mais 2 meses' + CHAR(13) + CHAR(10) + 
'10/06/2024 - Cobrado procedimento' + CHAR(13) + CHAR(10) + 
'03/06/2024 - Juntada efetuada' + CHAR(13) + CHAR(10) + 
'29/05/2024 - Docs recebidos' + CHAR(13) + CHAR(10) + 
'24/05/2024 - RPR e Numerario enviados, ag retorno' + CHAR(13) + CHAR(10) + 
'21/05/2024 - Solicitado prorrogação por mais 1 mes' + CHAR(13) + CHAR(10) + 
'08/05/2024 - Cobrado novamente' + CHAR(13) + CHAR(10) + 
'05/04/2024 - Cobrado procedimento a ser adotado' + CHAR(13) + CHAR(10) + 
'04/12/2023 - Juntada efetuada, aguardando apolice.' + CHAR(13) + CHAR(10) + 
'10/11/2023 - Solicitado prorrogação por mais 6 meses, Numerario, TR e RPR enviados, ag retorno' + CHAR(13) + CHAR(10) + 
'06/10/2023 - Cobrado procedimento a ser adotado' + CHAR(13) + CHAR(10) + 
'12/06/2023 - Processo incluido no controle'</v>
      </c>
      <c r="W16" t="str">
        <v>WHEN 14 THEN
'29/11/2024 - Juntada efetuada' + CHAR(13) + CHAR(10) + 
'28/11/2024 - Docs recebidos' + CHAR(13) + CHAR(10) + 
'25/11/2024 - Numerario enviado, ag retorno' + CHAR(13) + CHAR(10) + 
'22/11/2024 - Solicitado prorrogaçao por mais 4 meses' + CHAR(13) + CHAR(10) + 
'07/10/2024 - Cobrado procedimento a ser adotado' + CHAR(13) + CHAR(10) + 
'03/09/2024 - Juntada efetuada' + CHAR(13) + CHAR(10) + 
'29/08/2024 - Docs recebidos' + CHAR(13) + CHAR(10) + 
'22/08/2024 - Numerario e RPR enviados' + CHAR(13) + CHAR(10) + 
'21/08/2024 - Solicitado prorrogaçao por mais 3 meses' + CHAR(13) + CHAR(10) + 
'14/08/2024 - Cobrado novamente' + CHAR(13) + CHAR(10) + 
'05/07/2024 - Cobrado procedimento a ser adotado' + CHAR(13) + CHAR(10) + 
'24/06/2024 - Juntada efetuada' + CHAR(13) + CHAR(10) + 
'17/06/2024 - Docs recebidos' + CHAR(13) + CHAR(10) + 
'17/06/2024 - Numerario enviado, ag retorno' + CHAR(13) + CHAR(10) + 
'13/06/2024 - Prorrogação por mais 2 meses' + CHAR(13) + CHAR(10) + 
'10/06/2024 - Cobrado procedimento' + CHAR(13) + CHAR(10) + 
'03/06/2024 - Juntada efetuada' + CHAR(13) + CHAR(10) + 
'29/05/2024 - Docs recebidos' + CHAR(13) + CHAR(10) + 
'24/05/2024 - RPR e Numerario enviados, ag retorno' + CHAR(13) + CHAR(10) + 
'21/05/2024 - Solicitado prorrogação por mais 1 mes' + CHAR(13) + CHAR(10) + 
'08/05/2024 - Cobrado novamente' + CHAR(13) + CHAR(10) + 
'05/04/2024 - Cobrado procedimento a ser adotado' + CHAR(13) + CHAR(10) + 
'04/12/2023 - Juntada efetuada, aguardando apolice.' + CHAR(13) + CHAR(10) + 
'10/11/2023 - Solicitado prorrogação por mais 6 meses, Numerario, TR e RPR enviados, ag retorno' + CHAR(13) + CHAR(10) + 
'06/10/2023 - Cobrado procedimento a ser adotado' + CHAR(13) + CHAR(10) + 
'12/06/2023 - Processo incluido no controle'</v>
      </c>
      <c r="X16" t="str">
        <v>WHEN 14 THEN
'VEÍCULO AUTOPROPELIDO PARA TRANSPORTE A DE GRANDES ESTRUTURAS EM CURTAS DISTÂNCIAS, COM 6 LINHAS DE EIXO, ANO DE
FABRICAÇÃO 2016, USADO, COM CADA LINHA DE EIXO COMPOSTA POR 8 PNEUS (TOTAL DO CONJUNTO 48 PNEUS),COMPLETA, COM
DISPOSITIVOS E FERRAMENTAS DE MONTAGEM E ACESSÓRIOS NECESSÁRIOS PARA OPERAÇÃO (PARCIALMENTE DESMONTADO PARA
MANUSEIO E TRANSPORTE). NÚMERO DE SÉRIE WG0PST061G0061401 E FROTA 302919 E MARCA GOLDHOFER
AKTIENGESELLSCHAFT, MODELO: PST/SL 6-12X08.'</v>
      </c>
    </row>
    <row r="17" spans="1:24" ht="53.25" customHeight="1" x14ac:dyDescent="0.25">
      <c r="A17" t="str">
        <f>B17&amp;" - "&amp;COUNTIF($B$3:B17,B17)</f>
        <v>MAMMOET - 9</v>
      </c>
      <c r="B17" s="44" t="s">
        <v>19</v>
      </c>
      <c r="C17" s="45">
        <v>2221403214</v>
      </c>
      <c r="D17" s="46" t="s">
        <v>105</v>
      </c>
      <c r="E17" s="47" t="s">
        <v>106</v>
      </c>
      <c r="F17" s="48" t="s">
        <v>21</v>
      </c>
      <c r="G17" s="49">
        <v>162205256553652</v>
      </c>
      <c r="H17" s="74">
        <f t="shared" si="0"/>
        <v>45700</v>
      </c>
      <c r="I17" s="19">
        <f t="shared" si="1"/>
        <v>45728</v>
      </c>
      <c r="J17" s="51" t="s">
        <v>107</v>
      </c>
      <c r="K17" s="67" t="s">
        <v>108</v>
      </c>
      <c r="L17" s="68">
        <v>45759</v>
      </c>
      <c r="M17" s="54">
        <v>44862</v>
      </c>
      <c r="N17" s="55">
        <v>44873</v>
      </c>
      <c r="O17" s="69" t="s">
        <v>109</v>
      </c>
      <c r="P17" s="70">
        <v>11426377000123</v>
      </c>
      <c r="Q17" s="75"/>
      <c r="R17" s="76">
        <v>202200171178807</v>
      </c>
      <c r="S17" s="73">
        <v>46688</v>
      </c>
      <c r="T17" s="59" t="s">
        <v>110</v>
      </c>
      <c r="U17" t="s">
        <v>529</v>
      </c>
      <c r="V17" t="str">
        <f t="shared" si="2"/>
        <v>'10/12/2024 - Juntada efetuada' + CHAR(13) + CHAR(10) + 
'03/12/2024 - Docs recebidos' + CHAR(13) + CHAR(10) + 
'29/11/2024 - Numerario enviado, ag retorno' + CHAR(13) + CHAR(10) + 
'27/11/2024 - Solicitado prorrogaçao por mais 4 meses' + CHAR(13) + CHAR(10) + 
'27/11/2024 - Cobrado novamente' + CHAR(13) + CHAR(10) + 
'11/11/2024 - Cobrado procedimento a ser adotado' + CHAR(13) + CHAR(10) + 
'08/11/2024 - Juntada efetuada' + CHAR(13) + CHAR(10) + 
'04/11/2024 - Docs recebidos' + CHAR(13) + CHAR(10) + 
'22/10/2024 - Numerario enviado, ag retorno' + CHAR(13) + CHAR(10) + 
'21/10/2024 - Solciitado prorrogaçao por mais 1 mes' + CHAR(13) + CHAR(10) + 
'14/10/2024 - Cobrado novamente' + CHAR(13) + CHAR(10) + 
'30/09/2024 - Cobrado procedimento a ser adotado' + CHAR(13) + CHAR(10) + 
'13/06/2024 - Juntada efetuada' + CHAR(13) + CHAR(10) + 
'11/06/2024 - Docs recebidos' + CHAR(13) + CHAR(10) + 
'10/06/2024 - Numerario enviado, ag retorno' + CHAR(13) + CHAR(10) + 
'04/06/2024 - Prorrogação por mais 5 meses' + CHAR(13) + CHAR(10) + 
'03/06/2024 - Cobrado novamente' + CHAR(13) + CHAR(10) + 
'15/04/2024 - Cobrado procedimento a ser adotado' + CHAR(13) + CHAR(10) + 
'12/04/2024 - Juntada efetuada' + CHAR(13) + CHAR(10) + 
'11/04/2024 - Docs recebidos' + CHAR(13) + CHAR(10) + 
'03/04/2024 - Enviado Numerario e RPR' + CHAR(13) + CHAR(10) + 
'01/04/2024 - Informado que será prorrogado por mais 2 meses' + CHAR(13) + CHAR(10) + 
'22/03/2024 - Cobrado novamente' + CHAR(13) + CHAR(10) + 
'14/02/2024 - Cobrado procedimento a ser adotado' + CHAR(13) + CHAR(10) + 
'03/11/2023 - Juntada da Apolice efetuada' + CHAR(13) + CHAR(10) + 
'26/10/2023 - Apolice atualizada recebida' + CHAR(13) + CHAR(10) + 
'11/10/2023 - Juntada efetuada' + CHAR(13) + CHAR(10) + 
'06/10/2023 - Recebido docs exceto Apolice atualizada' + CHAR(13) + CHAR(10) + 
'21/08/2023 - Cobrado procedimento a ser adotado' + CHAR(13) + CHAR(10) + 
'02/01/2023 - Processo incluido no controle'</v>
      </c>
      <c r="W17" t="str">
        <v>WHEN 15 THEN
'10/12/2024 - Juntada efetuada' + CHAR(13) + CHAR(10) + 
'03/12/2024 - Docs recebidos' + CHAR(13) + CHAR(10) + 
'29/11/2024 - Numerario enviado, ag retorno' + CHAR(13) + CHAR(10) + 
'27/11/2024 - Solicitado prorrogaçao por mais 4 meses' + CHAR(13) + CHAR(10) + 
'27/11/2024 - Cobrado novamente' + CHAR(13) + CHAR(10) + 
'11/11/2024 - Cobrado procedimento a ser adotado' + CHAR(13) + CHAR(10) + 
'08/11/2024 - Juntada efetuada' + CHAR(13) + CHAR(10) + 
'04/11/2024 - Docs recebidos' + CHAR(13) + CHAR(10) + 
'22/10/2024 - Numerario enviado, ag retorno' + CHAR(13) + CHAR(10) + 
'21/10/2024 - Solciitado prorrogaçao por mais 1 mes' + CHAR(13) + CHAR(10) + 
'14/10/2024 - Cobrado novamente' + CHAR(13) + CHAR(10) + 
'30/09/2024 - Cobrado procedimento a ser adotado' + CHAR(13) + CHAR(10) + 
'13/06/2024 - Juntada efetuada' + CHAR(13) + CHAR(10) + 
'11/06/2024 - Docs recebidos' + CHAR(13) + CHAR(10) + 
'10/06/2024 - Numerario enviado, ag retorno' + CHAR(13) + CHAR(10) + 
'04/06/2024 - Prorrogação por mais 5 meses' + CHAR(13) + CHAR(10) + 
'03/06/2024 - Cobrado novamente' + CHAR(13) + CHAR(10) + 
'15/04/2024 - Cobrado procedimento a ser adotado' + CHAR(13) + CHAR(10) + 
'12/04/2024 - Juntada efetuada' + CHAR(13) + CHAR(10) + 
'11/04/2024 - Docs recebidos' + CHAR(13) + CHAR(10) + 
'03/04/2024 - Enviado Numerario e RPR' + CHAR(13) + CHAR(10) + 
'01/04/2024 - Informado que será prorrogado por mais 2 meses' + CHAR(13) + CHAR(10) + 
'22/03/2024 - Cobrado novamente' + CHAR(13) + CHAR(10) + 
'14/02/2024 - Cobrado procedimento a ser adotado' + CHAR(13) + CHAR(10) + 
'03/11/2023 - Juntada da Apolice efetuada' + CHAR(13) + CHAR(10) + 
'26/10/2023 - Apolice atualizada recebida' + CHAR(13) + CHAR(10) + 
'11/10/2023 - Juntada efetuada' + CHAR(13) + CHAR(10) + 
'06/10/2023 - Recebido docs exceto Apolice atualizada' + CHAR(13) + CHAR(10) + 
'21/08/2023 - Cobrado procedimento a ser adotado' + CHAR(13) + CHAR(10) + 
'02/01/2023 - Processo incluido no controle'</v>
      </c>
      <c r="X17" t="str">
        <v>WHEN 15 THEN
'CAMINHÃO GUINDASTE SOBRE PNEU COM LANÇA TELESCÓPICA ATÉ 60 METROS, ADITIVO ESPECIAL CONECTADO JIB ATÉ 88 METROS, CAPACIDADE MÁXIMA DE ELEVAÇÃO 220 TONELADAS, COM 5 EIXOS TOTAIS DIRECIONÁVEIS,PARCIALMENTE DESMONTADO PARA TRANSPORTE E MANUSEIO, COM PEÇAS E ACESSÓRIOS PARA MONTAGEM E OPERAÇÃO. MARCA LIEBHERR, MODELO LTM-1220 5.2, USADO, ANO DE FABRICAÇÃO 2012, NÚMERO DE SÉRIE 045767, CHASSIS NO.: W09585700DEL05385.'</v>
      </c>
    </row>
    <row r="18" spans="1:24" ht="53.25" customHeight="1" x14ac:dyDescent="0.25">
      <c r="A18" t="str">
        <f>B18&amp;" - "&amp;COUNTIF($B$3:B18,B18)</f>
        <v>MAMMOET - 10</v>
      </c>
      <c r="B18" s="44" t="s">
        <v>19</v>
      </c>
      <c r="C18" s="45">
        <v>2225612292</v>
      </c>
      <c r="D18" s="46" t="s">
        <v>111</v>
      </c>
      <c r="E18" s="47" t="s">
        <v>112</v>
      </c>
      <c r="F18" s="48" t="s">
        <v>21</v>
      </c>
      <c r="G18" s="49">
        <v>132205315120298</v>
      </c>
      <c r="H18" s="74">
        <f t="shared" si="0"/>
        <v>45707</v>
      </c>
      <c r="I18" s="19">
        <f t="shared" si="1"/>
        <v>45735</v>
      </c>
      <c r="J18" s="51" t="s">
        <v>113</v>
      </c>
      <c r="K18" s="67" t="s">
        <v>114</v>
      </c>
      <c r="L18" s="68">
        <v>45766</v>
      </c>
      <c r="M18" s="54">
        <v>44921</v>
      </c>
      <c r="N18" s="55">
        <v>44945</v>
      </c>
      <c r="O18" s="24" t="s">
        <v>115</v>
      </c>
      <c r="P18" s="70">
        <v>11426377000123</v>
      </c>
      <c r="Q18" s="75"/>
      <c r="R18" s="76">
        <v>202200177717807</v>
      </c>
      <c r="S18" s="73">
        <v>46927</v>
      </c>
      <c r="T18" s="59" t="s">
        <v>116</v>
      </c>
      <c r="U18" t="s">
        <v>529</v>
      </c>
      <c r="V18" t="str">
        <f t="shared" si="2"/>
        <v>'17/12/2024 - Juntada efetuada' + CHAR(13) + CHAR(10) + 
'16/12/2024 - Docs recebidos' + CHAR(13) + CHAR(10) + 
'29/11/2024 - Numerario enviado, ag retorno' + CHAR(13) + CHAR(10) + 
'28/11/2024 - Solicitado prorrogaçao por mais 4 meses' + CHAR(13) + CHAR(10) + 
'25/11/2024 - Cobrado procedimento a ser adotado' + CHAR(13) + CHAR(10) + 
'19/11/2024 - Juntada efetuada' + CHAR(13) + CHAR(10) + 
'19/11/2024 - Recebido documentos' + CHAR(13) + CHAR(10) + 
'24/10/2024 - Enviado numerario, ag retorno' + CHAR(13) + CHAR(10) + 
'23/10/2024 - Solciitado prorrogaçao por mais 1 mes' + CHAR(13) + CHAR(10) + 
'30/09/2024 - Cobrado procedimento a ser adotado' + CHAR(13) + CHAR(10) + 
'19/06/2024 - Juntada efetuada' + CHAR(13) + CHAR(10) + 
'19/06/2024 - Docs recebidos' + CHAR(13) + CHAR(10) + 
'10/06/2024 - Numerario enviado, ag retorno' + CHAR(13) + CHAR(10) + 
'04/06/2024 - Prorrogação por mais 5 meses' + CHAR(13) + CHAR(10) + 
'03/06/2024 - Cobrado novamente' + CHAR(13) + CHAR(10) + 
'30/04/2024 - Cobrado procedimento a ser adotado' + CHAR(13) + CHAR(10) + 
'15/01/2024 - Juntada efetuada' + CHAR(13) + CHAR(10) + 
'12/01/2024 - Docs recebidos' + CHAR(13) + CHAR(10) + 
'05/01/2024 - RPR e Numerario enviados, ag retorno' + CHAR(13) + CHAR(10) + 
'04/01/2024 - Solicitado prorrogação por mais 5 meses' + CHAR(13) + CHAR(10) + 
'28/12/2023 - Cobrado novamente' + CHAR(13) + CHAR(10) + 
'21/11/2023 - Cobrado procedimento a ser adotado' + CHAR(13) + CHAR(10) + 
'17/07/2023 - Juntada efetuada através do DOSSIE' + CHAR(13) + CHAR(10) + 
'17/07/2023 - Docs recebidos' + CHAR(13) + CHAR(10) + 
'20/06/2023 - Numerario, TR e RPR enviados, ag retorno' + CHAR(13) + CHAR(10) + 
'19/06/2023 - Informado que será prorrogado por 6 meses' + CHAR(13) + CHAR(10) + 
'18/05/2023  - Cobrado procedimento a ser adotado' + CHAR(13) + CHAR(10) + 
'03/03/2023 - Processo incluido no controle'</v>
      </c>
      <c r="W18" t="str">
        <v>WHEN 16 THEN
'17/12/2024 - Juntada efetuada' + CHAR(13) + CHAR(10) + 
'16/12/2024 - Docs recebidos' + CHAR(13) + CHAR(10) + 
'29/11/2024 - Numerario enviado, ag retorno' + CHAR(13) + CHAR(10) + 
'28/11/2024 - Solicitado prorrogaçao por mais 4 meses' + CHAR(13) + CHAR(10) + 
'25/11/2024 - Cobrado procedimento a ser adotado' + CHAR(13) + CHAR(10) + 
'19/11/2024 - Juntada efetuada' + CHAR(13) + CHAR(10) + 
'19/11/2024 - Recebido documentos' + CHAR(13) + CHAR(10) + 
'24/10/2024 - Enviado numerario, ag retorno' + CHAR(13) + CHAR(10) + 
'23/10/2024 - Solciitado prorrogaçao por mais 1 mes' + CHAR(13) + CHAR(10) + 
'30/09/2024 - Cobrado procedimento a ser adotado' + CHAR(13) + CHAR(10) + 
'19/06/2024 - Juntada efetuada' + CHAR(13) + CHAR(10) + 
'19/06/2024 - Docs recebidos' + CHAR(13) + CHAR(10) + 
'10/06/2024 - Numerario enviado, ag retorno' + CHAR(13) + CHAR(10) + 
'04/06/2024 - Prorrogação por mais 5 meses' + CHAR(13) + CHAR(10) + 
'03/06/2024 - Cobrado novamente' + CHAR(13) + CHAR(10) + 
'30/04/2024 - Cobrado procedimento a ser adotado' + CHAR(13) + CHAR(10) + 
'15/01/2024 - Juntada efetuada' + CHAR(13) + CHAR(10) + 
'12/01/2024 - Docs recebidos' + CHAR(13) + CHAR(10) + 
'05/01/2024 - RPR e Numerario enviados, ag retorno' + CHAR(13) + CHAR(10) + 
'04/01/2024 - Solicitado prorrogação por mais 5 meses' + CHAR(13) + CHAR(10) + 
'28/12/2023 - Cobrado novamente' + CHAR(13) + CHAR(10) + 
'21/11/2023 - Cobrado procedimento a ser adotado' + CHAR(13) + CHAR(10) + 
'17/07/2023 - Juntada efetuada através do DOSSIE' + CHAR(13) + CHAR(10) + 
'17/07/2023 - Docs recebidos' + CHAR(13) + CHAR(10) + 
'20/06/2023 - Numerario, TR e RPR enviados, ag retorno' + CHAR(13) + CHAR(10) + 
'19/06/2023 - Informado que será prorrogado por 6 meses' + CHAR(13) + CHAR(10) + 
'18/05/2023  - Cobrado procedimento a ser adotado' + CHAR(13) + CHAR(10) + 
'03/03/2023 - Processo incluido no controle'</v>
      </c>
      <c r="X18" t="str">
        <v>WHEN 16 THEN
'SEÇÕES DE LANÇA PARA GUINDASTE CC2800-1, USADAS, TIPO (S7) 2724-22-03/ 2724-22-04, COMPLETAS COM PENDENTES E
PINOS PARA MONTAGEM. MARCA: TEREX DEMAG, MODELO: CC 2800-1, NÚMERO DE SERIE 62240, CAPACIDADE DA LANÇA 600
TON, FLEET NUMBER: 1169, ANO DE FABRICAÇÃO 2008, USADO.'</v>
      </c>
    </row>
    <row r="19" spans="1:24" ht="53.25" customHeight="1" x14ac:dyDescent="0.25">
      <c r="A19" t="str">
        <f>B19&amp;" - "&amp;COUNTIF($B$3:B19,B19)</f>
        <v>MAMMOET - 11</v>
      </c>
      <c r="B19" s="44" t="s">
        <v>19</v>
      </c>
      <c r="C19" s="45">
        <v>2117258092</v>
      </c>
      <c r="D19" s="46" t="s">
        <v>117</v>
      </c>
      <c r="E19" s="47" t="s">
        <v>118</v>
      </c>
      <c r="F19" s="48" t="s">
        <v>21</v>
      </c>
      <c r="G19" s="49">
        <v>132105211325331</v>
      </c>
      <c r="H19" s="50">
        <f t="shared" si="0"/>
        <v>45708</v>
      </c>
      <c r="I19" s="19">
        <f t="shared" si="1"/>
        <v>45736</v>
      </c>
      <c r="J19" s="51" t="s">
        <v>119</v>
      </c>
      <c r="K19" s="52" t="s">
        <v>120</v>
      </c>
      <c r="L19" s="53">
        <v>45767</v>
      </c>
      <c r="M19" s="54">
        <v>44456</v>
      </c>
      <c r="N19" s="55">
        <v>44459</v>
      </c>
      <c r="O19" s="24" t="s">
        <v>93</v>
      </c>
      <c r="P19" s="56">
        <v>11426377000638</v>
      </c>
      <c r="Q19" s="57"/>
      <c r="R19" s="58">
        <v>202100119574713</v>
      </c>
      <c r="S19" s="28"/>
      <c r="T19" s="60" t="s">
        <v>121</v>
      </c>
      <c r="U19" t="s">
        <v>529</v>
      </c>
      <c r="V19" t="str">
        <f t="shared" si="2"/>
        <v>'18/12/2024 - Juntada efetuada' + CHAR(13) + CHAR(10) + 
'18/12/2024 - Docs recebidos' + CHAR(13) + CHAR(10) + 
'29/11/2024 - Numerario enviado, ag retorno' + CHAR(13) + CHAR(10) + 
'28/11/2024 - Solicitado prorrogaçao por mais 4 meses' + CHAR(13) + CHAR(10) + 
'25/11/2024 - Cobrado procedimento a ser adotado' + CHAR(13) + CHAR(10) + 
'19/11/2024 - Juntada efetuada' + CHAR(13) + CHAR(10) + 
'19/11/2024 - Docs recebidos' + CHAR(13) + CHAR(10) + 
'22/10/2024 - Numerario enviado, ag retorno' + CHAR(13) + CHAR(10) + 
'21/10/2024 - Solciitado prorrogaçao por mais 1 mes' + CHAR(13) + CHAR(10) + 
'30/09/2024 - Cobrado procedimento a ser adotado' + CHAR(13) + CHAR(10) + 
'20/06/2024 - Juntada efetuada' + CHAR(13) + CHAR(10) + 
'19/06/2024 - Docs recebidos' + CHAR(13) + CHAR(10) + 
'10/06/2024 - Enviado RPR, ag retorno' + CHAR(13) + CHAR(10) + 
'04/06/2024 - Solicitado prorrogação por mais 5 meses' + CHAR(13) + CHAR(10) + 
'03/06/2024 - Cobrado novamente' + CHAR(13) + CHAR(10) + 
'30/04/2024 - Cobrado procedimento a ser adotado' + CHAR(13) + CHAR(10) + 
'19/04/2024 - Juntada efetuada' + CHAR(13) + CHAR(10) + 
'19/04/2024 - Documentação recebida' + CHAR(13) + CHAR(10) + 
'03/04/2024 - Numerario, RPR e TR enviados, ag retorno' + CHAR(13) + CHAR(10) + 
'01/04/2024 - Informado que será prorrogado por mais 2 meses' + CHAR(13) + CHAR(10) + 
'22/03/2024 - Cobrado novamente' + CHAR(13) + CHAR(10) + 
'23/02/2024 - Cobrado procedimento a ser adotado' + CHAR(13) + CHAR(10) + 
'19/10/2023 - Juntada efetuada' + CHAR(13) + CHAR(10) + 
'18/10/2023 - Docs recebidos' + CHAR(13) + CHAR(10) + 
'02/10/2023 - Enviado numerario, TR e RPR, ag retorno' + CHAR(13) + CHAR(10) + 
'29/09/2023 - Cobrado novamente, respondido que será prorrogado por mais 6 meses' + CHAR(13) + CHAR(10) + 
'21/08/2023 - Cobrado procedimento a ser adotado' + CHAR(13) + CHAR(10) + 
'14/08/2023 - Juntada efetuada pelo DOSSIE' + CHAR(13) + CHAR(10) + 
'04/08/2023 - Recebido docs' + CHAR(13) + CHAR(10) + 
'31/07/2023 - Numerario, RPR e TR enviados, agr retorno' + CHAR(13) + CHAR(10) + 
'26/07/2023 - Informad que será prorrogado por mais 2 meses' + CHAR(13) + CHAR(10) + 
'26/06/2023 - Cobrado procedimento a ser adotado' + CHAR(13) + CHAR(10) + 
'09/03/2023 - Juntada efetuada no DOSSIE' + CHAR(13) + CHAR(10) + 
'06/03/2023 - Docs recebidos' + CHAR(13) + CHAR(10) + 
'01/02/2023 - Enviado Numerario, RPR e TR, aguardando retorno' + CHAR(13) + CHAR(10) + 
'26/01/2023 - Informado que a prorrogação será até 08/2023' + CHAR(13) + CHAR(10) + 
'24/01/2023 - Cobrado procedimento a ser adotado' + CHAR(13) + CHAR(10) + 
'15/03/2022 - Juntada anexada através do DOSSIE' + CHAR(13) + CHAR(10) + 
'17/02/2022 - Solicitado prorrogação por 12 meses, TR, RAT e Numerário enviados, aguardando retorno' + CHAR(13) + CHAR(10) + 
'19/01/2022 - Cobrado procedimento a ser adotado' + CHAR(13) + CHAR(10) + 
'29/10/2021 - Processo incluido no controle'</v>
      </c>
      <c r="W19" t="str">
        <v>WHEN 17 THEN
'18/12/2024 - Juntada efetuada' + CHAR(13) + CHAR(10) + 
'18/12/2024 - Docs recebidos' + CHAR(13) + CHAR(10) + 
'29/11/2024 - Numerario enviado, ag retorno' + CHAR(13) + CHAR(10) + 
'28/11/2024 - Solicitado prorrogaçao por mais 4 meses' + CHAR(13) + CHAR(10) + 
'25/11/2024 - Cobrado procedimento a ser adotado' + CHAR(13) + CHAR(10) + 
'19/11/2024 - Juntada efetuada' + CHAR(13) + CHAR(10) + 
'19/11/2024 - Docs recebidos' + CHAR(13) + CHAR(10) + 
'22/10/2024 - Numerario enviado, ag retorno' + CHAR(13) + CHAR(10) + 
'21/10/2024 - Solciitado prorrogaçao por mais 1 mes' + CHAR(13) + CHAR(10) + 
'30/09/2024 - Cobrado procedimento a ser adotado' + CHAR(13) + CHAR(10) + 
'20/06/2024 - Juntada efetuada' + CHAR(13) + CHAR(10) + 
'19/06/2024 - Docs recebidos' + CHAR(13) + CHAR(10) + 
'10/06/2024 - Enviado RPR, ag retorno' + CHAR(13) + CHAR(10) + 
'04/06/2024 - Solicitado prorrogação por mais 5 meses' + CHAR(13) + CHAR(10) + 
'03/06/2024 - Cobrado novamente' + CHAR(13) + CHAR(10) + 
'30/04/2024 - Cobrado procedimento a ser adotado' + CHAR(13) + CHAR(10) + 
'19/04/2024 - Juntada efetuada' + CHAR(13) + CHAR(10) + 
'19/04/2024 - Documentação recebida' + CHAR(13) + CHAR(10) + 
'03/04/2024 - Numerario, RPR e TR enviados, ag retorno' + CHAR(13) + CHAR(10) + 
'01/04/2024 - Informado que será prorrogado por mais 2 meses' + CHAR(13) + CHAR(10) + 
'22/03/2024 - Cobrado novamente' + CHAR(13) + CHAR(10) + 
'23/02/2024 - Cobrado procedimento a ser adotado' + CHAR(13) + CHAR(10) + 
'19/10/2023 - Juntada efetuada' + CHAR(13) + CHAR(10) + 
'18/10/2023 - Docs recebidos' + CHAR(13) + CHAR(10) + 
'02/10/2023 - Enviado numerario, TR e RPR, ag retorno' + CHAR(13) + CHAR(10) + 
'29/09/2023 - Cobrado novamente, respondido que será prorrogado por mais 6 meses' + CHAR(13) + CHAR(10) + 
'21/08/2023 - Cobrado procedimento a ser adotado' + CHAR(13) + CHAR(10) + 
'14/08/2023 - Juntada efetuada pelo DOSSIE' + CHAR(13) + CHAR(10) + 
'04/08/2023 - Recebido docs' + CHAR(13) + CHAR(10) + 
'31/07/2023 - Numerario, RPR e TR enviados, agr retorno' + CHAR(13) + CHAR(10) + 
'26/07/2023 - Informad que será prorrogado por mais 2 meses' + CHAR(13) + CHAR(10) + 
'26/06/2023 - Cobrado procedimento a ser adotado' + CHAR(13) + CHAR(10) + 
'09/03/2023 - Juntada efetuada no DOSSIE' + CHAR(13) + CHAR(10) + 
'06/03/2023 - Docs recebidos' + CHAR(13) + CHAR(10) + 
'01/02/2023 - Enviado Numerario, RPR e TR, aguardando retorno' + CHAR(13) + CHAR(10) + 
'26/01/2023 - Informado que a prorrogação será até 08/2023' + CHAR(13) + CHAR(10) + 
'24/01/2023 - Cobrado procedimento a ser adotado' + CHAR(13) + CHAR(10) + 
'15/03/2022 - Juntada anexada através do DOSSIE' + CHAR(13) + CHAR(10) + 
'17/02/2022 - Solicitado prorrogação por 12 meses, TR, RAT e Numerário enviados, aguardando retorno' + CHAR(13) + CHAR(10) + 
'19/01/2022 - Cobrado procedimento a ser adotado' + CHAR(13) + CHAR(10) + 
'29/10/2021 - Processo incluido no controle'</v>
      </c>
      <c r="X19" t="str">
        <v>WHEN 17 THEN
'PARTE DE GUINDASTE AUTOPROPELIDO CC2800, SENDO: MOITÃO 200T, CABO DE 28MM, 5 ROLDANAS, MARCA 5321322, MODELO HF-280200-00001, NUMERO DE SERIE 63078-2, ANO DE FABRICAÇÃO 2007 - USADO.'</v>
      </c>
    </row>
    <row r="20" spans="1:24" ht="53.25" customHeight="1" x14ac:dyDescent="0.25">
      <c r="A20" t="str">
        <f>B20&amp;" - "&amp;COUNTIF($B$3:B20,B20)</f>
        <v>MAMMOET - 12</v>
      </c>
      <c r="B20" s="47" t="s">
        <v>19</v>
      </c>
      <c r="C20" s="77">
        <v>1801413543</v>
      </c>
      <c r="D20" s="78" t="s">
        <v>122</v>
      </c>
      <c r="E20" s="47" t="s">
        <v>123</v>
      </c>
      <c r="F20" s="79" t="s">
        <v>21</v>
      </c>
      <c r="G20" s="80">
        <v>131705281227807</v>
      </c>
      <c r="H20" s="50">
        <f t="shared" si="0"/>
        <v>45711</v>
      </c>
      <c r="I20" s="19">
        <f t="shared" si="1"/>
        <v>45739</v>
      </c>
      <c r="J20" s="51" t="s">
        <v>22</v>
      </c>
      <c r="K20" s="59" t="s">
        <v>71</v>
      </c>
      <c r="L20" s="68">
        <v>45770</v>
      </c>
      <c r="M20" s="55">
        <v>43122</v>
      </c>
      <c r="N20" s="55">
        <v>43150</v>
      </c>
      <c r="O20" s="24" t="s">
        <v>124</v>
      </c>
      <c r="P20" s="81">
        <v>11426377000638</v>
      </c>
      <c r="Q20" s="57" t="s">
        <v>125</v>
      </c>
      <c r="R20" s="58">
        <v>201800018270352</v>
      </c>
      <c r="S20" s="28">
        <v>46226</v>
      </c>
      <c r="T20" s="82" t="s">
        <v>126</v>
      </c>
      <c r="U20" t="s">
        <v>529</v>
      </c>
      <c r="V20" t="str">
        <f t="shared" si="2"/>
        <v>'23/12/2024 - Juntada efetuada, docs recebidos' + CHAR(13) + CHAR(10) + 
'29/11/2024 - Enviado Numerario, ag retorno' + CHAR(13) + CHAR(10) + 
'27/11/2024 - Solicitado prorrogaçao por mais 4 meses' + CHAR(13) + CHAR(10) + 
'27/11/2024 - Cobrado novamente' + CHAR(13) + CHAR(10) + 
'28/10/2024 - Cobrado procedimento a ser adotado' + CHAR(13) + CHAR(10) + 
'25/10/2024 - Despacho' + CHAR(13) + CHAR(10) + 
'22/08/2024 - Juntada efetuada' + CHAR(13) + CHAR(10) + 
'12/08/2024 - Docs recebidos' + CHAR(13) + CHAR(10) + 
'07/08/2024 - Enviado Numerario, ag retorno' + CHAR(13) + CHAR(10) + 
'05/08/2024 - Solicitado prorrogação por mais 4 meses' + CHAR(13) + CHAR(10) + 
'25/06/2024 - Cobrado procedimento a ser adotado' + CHAR(13) + CHAR(10) + 
'21/06/2024 - Juntada efetuada' + CHAR(13) + CHAR(10) + 
'19/06/2024 - Docs recebidos' + CHAR(13) + CHAR(10) + 
'17/06/2024 - Numerario enviado, ag retorno' + CHAR(13) + CHAR(10) + 
'11/06/2024 - Prorrogação por mais 2 meses' + CHAR(13) + CHAR(10) + 
'03/06/2024 - Cobrado novamente' + CHAR(13) + CHAR(10) + 
'30/04/2024 - Cobrado procedimento a ser adotado' + CHAR(13) + CHAR(10) + 
'23/01/2024 - Juntada efetuada' + CHAR(13) + CHAR(10) + 
'12/01/2024 - Docs recebidos' + CHAR(13) + CHAR(10) + 
'05/01/2024 - RPR, Numerario e TR enviados, ag retorno' + CHAR(13) + CHAR(10) + 
'04/01/2023 - Solicitado prorrogação por mais 5 meses' + CHAR(13) + CHAR(10) + 
'28/12/2023 - Cobrado novamente' + CHAR(13) + CHAR(10) + 
'01/12/2023 - Cobrado procedimento a ser adotado' + CHAR(13) + CHAR(10) + 
'31/07/2023 - Apolice juntada' + CHAR(13) + CHAR(10) + 
'27/07/2023 - Recebido Apolice' + CHAR(13) + CHAR(10) + 
'21/07/2023 - Juntada efetuada sem Apolice' + CHAR(13) + CHAR(10) + 
'18/07/2023 - Docs recebidos, exceto Apolice' + CHAR(13) + CHAR(10) + 
'27/06/2023 - Numerario, TR e RPR enviados' + CHAR(13) + CHAR(10) + 
'21/06/2023 - Solicitado renovação por 6 meses' + CHAR(13) + CHAR(10) + 
'01/06/2023 - Cobrado procedimento a ser adotado' + CHAR(13) + CHAR(10) + 
'09/02/2023 - Despacho de encaminhamento' + CHAR(13) + CHAR(10) + 
'24/01/2023 - Juntada efetuada DOSSIE  e E-CAC, Apolice recebida' + CHAR(13) + CHAR(10) + 
'23/01/2023 - Docs recebidos, exceto APOLICE, juntada efetuada, aguardando APOLICE' + CHAR(13) + CHAR(10) + 
'02/01/2023 - Enviado Numerario, RPR e TR equivalente a 6 meses, aguardando retorno' + CHAR(13) + CHAR(10) + 
'25/11/2022 - Cobrado procedimento a ser adotado' + CHAR(13) + CHAR(10) + 
'07/11/2022 - Despacho Decisorio' + CHAR(13) + CHAR(10) + 
'14/10/2022 - Despacho de Encaminhamento' + CHAR(13) + CHAR(10) + 
'12/07/2022 - Juntada efetuada no e-CAC e no DOSSIE.' + CHAR(13) + CHAR(10) + 
'08/07/2022 - Cobrado os documentos para seguir com o pedido de prorrogação.' + CHAR(13) + CHAR(10) + 
'06/06/2022 - Solicitado prorrogação por mais 6 meses, docs enviados, aguardando retorno' + CHAR(13) + CHAR(10) + 
'24/05/2022 - Cobrado procedimento a ser adotado' + CHAR(13) + CHAR(10) + 
'18/02/2022 - Juntada efetuada no e-cac e através do DOSSIE da DI' + CHAR(13) + CHAR(10) + 
'17/02/2022 - Recebido docs' + CHAR(13) + CHAR(10) + 
'04/02/2022 - Solicitado prorrogação por 5 meses, TR e RAT enviados' + CHAR(13) + CHAR(10) + 
'27/01/2022 - Cobrado novamente' + CHAR(13) + CHAR(10) + 
'27/12/2021 - Cobrado procedimento a ser adotado' + CHAR(13) + CHAR(10) + 
'22/11/2021 - Recebido docs, juntada efeuada através do E-CAC e DOSSIE' + CHAR(13) + CHAR(10) + 
'17/11/2021 - Cobrado documentos novamente' + CHAR(13) + CHAR(10) + 
'20/10/2021 - Solicitado renovação por 3 meses, Numerario e TR enviados, aguardando retorno' + CHAR(13) + CHAR(10) + 
'27/09/2021 - Cobrado procedimento a ser adotado' + CHAR(13) + CHAR(10) + 
'23/07/2021 - Docs recebidos, aguardando APOLICE, juntada efetuada através do E-CAC e DOSSIE sem APOLICE, recebido APOLICE, juntada efetuada' + CHAR(13) + CHAR(10) + 
'06/07/2021 - Solicitado prorrogação por 4 meses, Numerário e TR enviados, aguardando docs' + CHAR(13) + CHAR(10) + 
'25/06/2021 - Cobrado novamente' + CHAR(13) + CHAR(10) + 
'25/05/2021 - Cobrado procedimento a ser adotado' + CHAR(13) + CHAR(10) + 
'18/01/2021 - Recebido docs, juntada enviada pelo E-CAC' + CHAR(13) + CHAR(10) + 
'13/01/2021 - Cobrado docs' + CHAR(13) + CHAR(10) + 
'23/12/2020 - Solicitada prorrogação por 6 meses, Numerario e TR enviados' + CHAR(13) + CHAR(10) + 
'24/11/2020 - Cobrado procedimento a ser adotado' + CHAR(13) + CHAR(10) + 
'16/09/2020 - Recebido documentos, Juntada Enviada pelo E-CAC, aguardando parecer da Receita' + CHAR(13) + CHAR(10) + 
'14/09/2020 - Cobrado novamente' + CHAR(13) + CHAR(10) + 
'10/09/2020 - Cobrado novamente' + CHAR(13) + CHAR(10) + 
'27/08/2020 - Solicitado prorrogação ate 23/01/2021, TR  e Numerário enviados' + CHAR(13) + CHAR(10) + 
'24/08/2020 - Cobrado novamente' + CHAR(13) + CHAR(10) + 
'20/07/2020 - Cobrado procedimento a ser adotado' + CHAR(13) + CHAR(10) + 
'15/05/2020 - Juntada enviada' + CHAR(13) + CHAR(10) + 
'11/05/2020 - Cobrado documentação' + CHAR(13) + CHAR(10) + 
'18/03/2020 - Cobrado qual procedimennto será adotado' + CHAR(13) + CHAR(10) + 
'16/01/2020 - Juntada feita pelo E-CAC' + CHAR(13) + CHAR(10) + 
'07/01/2020 - Cobrado documentação' + CHAR(13) + CHAR(10) + 
'23/12/2019 - Cobrado novamente' + CHAR(13) + CHAR(10) + 
'28/11/2019 - Cobrado qual procedimento a ser adotado. ' + CHAR(13) + CHAR(10) + 
'16/07/2019 - Juntada protocolada no e-CAC.' + CHAR(13) + CHAR(10) + 
'05/07/2019 - Recebido documentação para prosseguir com a prorrogação.' + CHAR(13) + CHAR(10) + 
'24/06/2019 - Cobrado documentação.' + CHAR(13) + CHAR(10) + 
'06/06/2019 - Enviado numerário, aguardando deposito e documentos para prosseguir com a prorrogação.' + CHAR(13) + CHAR(10) + 
'03/06/2019 - Recebido a informação que será prorrogado por 6 meses.' + CHAR(13) + CHAR(10) + 
'30/05/2018 - Cobrado qual procedimento a ser adotado. ' + CHAR(13) + CHAR(10) + 
'18/01/2019 - Processo enviado para o faturamento.' + CHAR(13) + CHAR(10) + 
'17/01/2019 - Juntada enviada e aguardando aprovação.' + CHAR(13) + CHAR(10) + 
'16/01/2019 - Recebida copia autenticada do contrato de serviço.' + CHAR(13) + CHAR(10) + 
'09/01/2019 - Recebida copia da documentação.' + CHAR(13) + CHAR(10) + 
'07/01/2019 - Cobrado documentação para prosseguir com a prorrogação. ' + CHAR(13) + CHAR(10) + 
'03/01/2019 - Cobrado documentação para prosseguir com a prorrogação.' + CHAR(13) + CHAR(10) + 
'02/01/2019 - Cobrado documentação para prosseguir com a prorrogação.' + CHAR(13) + CHAR(10) + 
'21/12/2018 - Enviado numerário e TR ao cliente. Agdo retorno.' + CHAR(13) + CHAR(10) + 
'10/12/2018 - O cliente mudou de ideia, o processo será prorrogado por mais 6 meses.' + CHAR(13) + CHAR(10) + 
'04/12/2018 - Recebida a informação que o material será reexportado. Enviado e-mail para o setor de exportação para providências. ' + CHAR(13) + CHAR(10) + 
'03/12/2018 - Enviado numerario para nacionalização de dois itens.' + CHAR(13) + CHAR(10) + 
'03/12/2018 - Cobrado qual procedimento será adotado.' + CHAR(13) + CHAR(10) + 
'22/11/2018 - Cobrado qual procedimento será adotado.' + CHAR(13) + CHAR(10) + 
'26/09/2018- 2ª Prorrogação enviada ao faturamento' + CHAR(13) + CHAR(10) + 
'26/09/2018 - Agdo aceite de juntada da 1ª prorrogação e 2ª prorrogação ' + CHAR(13) + CHAR(10) + 
'26/09/2018 - Documentos juntados ao processo. Agdo aceite de juntada' + CHAR(13) + CHAR(10) + 
'24/09/2018 - Pagamento de darfs e icms' + CHAR(13) + CHAR(10) + 
'19/09/2018 -Recebemos documentos e numerário' + CHAR(13) + CHAR(10) + 
'18/09/2018 - Cobrado  envio dos documentos e transferencia do numerario' + CHAR(13) + CHAR(10) + 
'11/09/2018 - Cobrado  envio dos documentos e transferencia do numerario' + CHAR(13) + CHAR(10) + 
'31/08/2018 - Enviado numerario e TR assinado. Agdo documentos e envio dos numerários' + CHAR(13) + CHAR(10) + 
'27/08/2018 - Informado que será prorrogado por 3 meses;' + CHAR(13) + CHAR(10) + 
'22/08/2018 - Cobrado procedimento será adotado ' + CHAR(13) + CHAR(10) + 
'17/07/2018 - Prorrogação faturada' + CHAR(13) + CHAR(10) + 
'11/07/2018- Documentos juntados no processo. Agd aceite de juntada' + CHAR(13) + CHAR(10) + 
'11/07/2018 - Cobrado vias originais ou autenticadas dos documentos e envio da garantia conforme TR corrigido' + CHAR(13) + CHAR(10) + 
'10/07/2018 - Cobrado vias originais ou autenticadas dos documentos e envio da garantia conforme TR corrigido' + CHAR(13) + CHAR(10) + 
'06/07/2018 - Recebido documentos por e-mail' + CHAR(13) + CHAR(10) + 
'03/07/2018 - Solicitação da seguradora referente aos documentos ' + CHAR(13) + CHAR(10) + 
'03/07/2018 - Dinheiro do numerário em conta ' + CHAR(13) + CHAR(10) + 
'21/06/2018 - Enviado Numerário. Agdo transferência do numerário e Documentos' + CHAR(13) + CHAR(10) + 
'07/05/2019 - Informado que o procedimento a ser adotado será prorrogação por 3 meses' + CHAR(13) + CHAR(10) + 
'04/05/2018 - Cobrado procedimento a ser adotado ' + CHAR(13) + CHAR(10) + 
'16/04/2018 - Processo Incluso no Controle' + CHAR(13) + CHAR(10) + 
'* Considerado o prazo do Contrato de Locação, 7 meses a contar da data de assinatura (Cláusula 06 Contrato), até 11/07/2018.' + CHAR(13) + CHAR(10) + 
'* Fiscal Concedeu o regime até 19/09/2018, 7 meses a contar do desembaraço.'</v>
      </c>
      <c r="W20" t="str">
        <v>WHEN 18 THEN
'23/12/2024 - Juntada efetuada, docs recebidos' + CHAR(13) + CHAR(10) + 
'29/11/2024 - Enviado Numerario, ag retorno' + CHAR(13) + CHAR(10) + 
'27/11/2024 - Solicitado prorrogaçao por mais 4 meses' + CHAR(13) + CHAR(10) + 
'27/11/2024 - Cobrado novamente' + CHAR(13) + CHAR(10) + 
'28/10/2024 - Cobrado procedimento a ser adotado' + CHAR(13) + CHAR(10) + 
'25/10/2024 - Despacho' + CHAR(13) + CHAR(10) + 
'22/08/2024 - Juntada efetuada' + CHAR(13) + CHAR(10) + 
'12/08/2024 - Docs recebidos' + CHAR(13) + CHAR(10) + 
'07/08/2024 - Enviado Numerario, ag retorno' + CHAR(13) + CHAR(10) + 
'05/08/2024 - Solicitado prorrogação por mais 4 meses' + CHAR(13) + CHAR(10) + 
'25/06/2024 - Cobrado procedimento a ser adotado' + CHAR(13) + CHAR(10) + 
'21/06/2024 - Juntada efetuada' + CHAR(13) + CHAR(10) + 
'19/06/2024 - Docs recebidos' + CHAR(13) + CHAR(10) + 
'17/06/2024 - Numerario enviado, ag retorno' + CHAR(13) + CHAR(10) + 
'11/06/2024 - Prorrogação por mais 2 meses' + CHAR(13) + CHAR(10) + 
'03/06/2024 - Cobrado novamente' + CHAR(13) + CHAR(10) + 
'30/04/2024 - Cobrado procedimento a ser adotado' + CHAR(13) + CHAR(10) + 
'23/01/2024 - Juntada efetuada' + CHAR(13) + CHAR(10) + 
'12/01/2024 - Docs recebidos' + CHAR(13) + CHAR(10) + 
'05/01/2024 - RPR, Numerario e TR enviados, ag retorno' + CHAR(13) + CHAR(10) + 
'04/01/2023 - Solicitado prorrogação por mais 5 meses' + CHAR(13) + CHAR(10) + 
'28/12/2023 - Cobrado novamente' + CHAR(13) + CHAR(10) + 
'01/12/2023 - Cobrado procedimento a ser adotado' + CHAR(13) + CHAR(10) + 
'31/07/2023 - Apolice juntada' + CHAR(13) + CHAR(10) + 
'27/07/2023 - Recebido Apolice' + CHAR(13) + CHAR(10) + 
'21/07/2023 - Juntada efetuada sem Apolice' + CHAR(13) + CHAR(10) + 
'18/07/2023 - Docs recebidos, exceto Apolice' + CHAR(13) + CHAR(10) + 
'27/06/2023 - Numerario, TR e RPR enviados' + CHAR(13) + CHAR(10) + 
'21/06/2023 - Solicitado renovação por 6 meses' + CHAR(13) + CHAR(10) + 
'01/06/2023 - Cobrado procedimento a ser adotado' + CHAR(13) + CHAR(10) + 
'09/02/2023 - Despacho de encaminhamento' + CHAR(13) + CHAR(10) + 
'24/01/2023 - Juntada efetuada DOSSIE  e E-CAC, Apolice recebida' + CHAR(13) + CHAR(10) + 
'23/01/2023 - Docs recebidos, exceto APOLICE, juntada efetuada, aguardando APOLICE' + CHAR(13) + CHAR(10) + 
'02/01/2023 - Enviado Numerario, RPR e TR equivalente a 6 meses, aguardando retorno' + CHAR(13) + CHAR(10) + 
'25/11/2022 - Cobrado procedimento a ser adotado' + CHAR(13) + CHAR(10) + 
'07/11/2022 - Despacho Decisorio' + CHAR(13) + CHAR(10) + 
'14/10/2022 - Despacho de Encaminhamento' + CHAR(13) + CHAR(10) + 
'12/07/2022 - Juntada efetuada no e-CAC e no DOSSIE.' + CHAR(13) + CHAR(10) + 
'08/07/2022 - Cobrado os documentos para seguir com o pedido de prorrogação.' + CHAR(13) + CHAR(10) + 
'06/06/2022 - Solicitado prorrogação por mais 6 meses, docs enviados, aguardando retorno' + CHAR(13) + CHAR(10) + 
'24/05/2022 - Cobrado procedimento a ser adotado' + CHAR(13) + CHAR(10) + 
'18/02/2022 - Juntada efetuada no e-cac e através do DOSSIE da DI' + CHAR(13) + CHAR(10) + 
'17/02/2022 - Recebido docs' + CHAR(13) + CHAR(10) + 
'04/02/2022 - Solicitado prorrogação por 5 meses, TR e RAT enviados' + CHAR(13) + CHAR(10) + 
'27/01/2022 - Cobrado novamente' + CHAR(13) + CHAR(10) + 
'27/12/2021 - Cobrado procedimento a ser adotado' + CHAR(13) + CHAR(10) + 
'22/11/2021 - Recebido docs, juntada efeuada através do E-CAC e DOSSIE' + CHAR(13) + CHAR(10) + 
'17/11/2021 - Cobrado documentos novamente' + CHAR(13) + CHAR(10) + 
'20/10/2021 - Solicitado renovação por 3 meses, Numerario e TR enviados, aguardando retorno' + CHAR(13) + CHAR(10) + 
'27/09/2021 - Cobrado procedimento a ser adotado' + CHAR(13) + CHAR(10) + 
'23/07/2021 - Docs recebidos, aguardando APOLICE, juntada efetuada através do E-CAC e DOSSIE sem APOLICE, recebido APOLICE, juntada efetuada' + CHAR(13) + CHAR(10) + 
'06/07/2021 - Solicitado prorrogação por 4 meses, Numerário e TR enviados, aguardando docs' + CHAR(13) + CHAR(10) + 
'25/06/2021 - Cobrado novamente' + CHAR(13) + CHAR(10) + 
'25/05/2021 - Cobrado procedimento a ser adotado' + CHAR(13) + CHAR(10) + 
'18/01/2021 - Recebido docs, juntada enviada pelo E-CAC' + CHAR(13) + CHAR(10) + 
'13/01/2021 - Cobrado docs' + CHAR(13) + CHAR(10) + 
'23/12/2020 - Solicitada prorrogação por 6 meses, Numerario e TR enviados' + CHAR(13) + CHAR(10) + 
'24/11/2020 - Cobrado procedimento a ser adotado' + CHAR(13) + CHAR(10) + 
'16/09/2020 - Recebido documentos, Juntada Enviada pelo E-CAC, aguardando parecer da Receita' + CHAR(13) + CHAR(10) + 
'14/09/2020 - Cobrado novamente' + CHAR(13) + CHAR(10) + 
'10/09/2020 - Cobrado novamente' + CHAR(13) + CHAR(10) + 
'27/08/2020 - Solicitado prorrogação ate 23/01/2021, TR  e Numerário enviados' + CHAR(13) + CHAR(10) + 
'24/08/2020 - Cobrado novamente' + CHAR(13) + CHAR(10) + 
'20/07/2020 - Cobrado procedimento a ser adotado' + CHAR(13) + CHAR(10) + 
'15/05/2020 - Juntada enviada' + CHAR(13) + CHAR(10) + 
'11/05/2020 - Cobrado documentação' + CHAR(13) + CHAR(10) + 
'18/03/2020 - Cobrado qual procedimennto será adotado' + CHAR(13) + CHAR(10) + 
'16/01/2020 - Juntada feita pelo E-CAC' + CHAR(13) + CHAR(10) + 
'07/01/2020 - Cobrado documentação' + CHAR(13) + CHAR(10) + 
'23/12/2019 - Cobrado novamente' + CHAR(13) + CHAR(10) + 
'28/11/2019 - Cobrado qual procedimento a ser adotado. ' + CHAR(13) + CHAR(10) + 
'16/07/2019 - Juntada protocolada no e-CAC.' + CHAR(13) + CHAR(10) + 
'05/07/2019 - Recebido documentação para prosseguir com a prorrogação.' + CHAR(13) + CHAR(10) + 
'24/06/2019 - Cobrado documentação.' + CHAR(13) + CHAR(10) + 
'06/06/2019 - Enviado numerário, aguardando deposito e documentos para prosseguir com a prorrogação.' + CHAR(13) + CHAR(10) + 
'03/06/2019 - Recebido a informação que será prorrogado por 6 meses.' + CHAR(13) + CHAR(10) + 
'30/05/2018 - Cobrado qual procedimento a ser adotado. ' + CHAR(13) + CHAR(10) + 
'18/01/2019 - Processo enviado para o faturamento.' + CHAR(13) + CHAR(10) + 
'17/01/2019 - Juntada enviada e aguardando aprovação.' + CHAR(13) + CHAR(10) + 
'16/01/2019 - Recebida copia autenticada do contrato de serviço.' + CHAR(13) + CHAR(10) + 
'09/01/2019 - Recebida copia da documentação.' + CHAR(13) + CHAR(10) + 
'07/01/2019 - Cobrado documentação para prosseguir com a prorrogação. ' + CHAR(13) + CHAR(10) + 
'03/01/2019 - Cobrado documentação para prosseguir com a prorrogação.' + CHAR(13) + CHAR(10) + 
'02/01/2019 - Cobrado documentação para prosseguir com a prorrogação.' + CHAR(13) + CHAR(10) + 
'21/12/2018 - Enviado numerário e TR ao cliente. Agdo retorno.' + CHAR(13) + CHAR(10) + 
'10/12/2018 - O cliente mudou de ideia, o processo será prorrogado por mais 6 meses.' + CHAR(13) + CHAR(10) + 
'04/12/2018 - Recebida a informação que o material será reexportado. Enviado e-mail para o setor de exportação para providências. ' + CHAR(13) + CHAR(10) + 
'03/12/2018 - Enviado numerario para nacionalização de dois itens.' + CHAR(13) + CHAR(10) + 
'03/12/2018 - Cobrado qual procedimento será adotado.' + CHAR(13) + CHAR(10) + 
'22/11/2018 - Cobrado qual procedimento será adotado.' + CHAR(13) + CHAR(10) + 
'26/09/2018- 2ª Prorrogação enviada ao faturamento' + CHAR(13) + CHAR(10) + 
'26/09/2018 - Agdo aceite de juntada da 1ª prorrogação e 2ª prorrogação ' + CHAR(13) + CHAR(10) + 
'26/09/2018 - Documentos juntados ao processo. Agdo aceite de juntada' + CHAR(13) + CHAR(10) + 
'24/09/2018 - Pagamento de darfs e icms' + CHAR(13) + CHAR(10) + 
'19/09/2018 -Recebemos documentos e numerário' + CHAR(13) + CHAR(10) + 
'18/09/2018 - Cobrado  envio dos documentos e transferencia do numerario' + CHAR(13) + CHAR(10) + 
'11/09/2018 - Cobrado  envio dos documentos e transferencia do numerario' + CHAR(13) + CHAR(10) + 
'31/08/2018 - Enviado numerario e TR assinado. Agdo documentos e envio dos numerários' + CHAR(13) + CHAR(10) + 
'27/08/2018 - Informado que será prorrogado por 3 meses;' + CHAR(13) + CHAR(10) + 
'22/08/2018 - Cobrado procedimento será adotado ' + CHAR(13) + CHAR(10) + 
'17/07/2018 - Prorrogação faturada' + CHAR(13) + CHAR(10) + 
'11/07/2018- Documentos juntados no processo. Agd aceite de juntada' + CHAR(13) + CHAR(10) + 
'11/07/2018 - Cobrado vias originais ou autenticadas dos documentos e envio da garantia conforme TR corrigido' + CHAR(13) + CHAR(10) + 
'10/07/2018 - Cobrado vias originais ou autenticadas dos documentos e envio da garantia conforme TR corrigido' + CHAR(13) + CHAR(10) + 
'06/07/2018 - Recebido documentos por e-mail' + CHAR(13) + CHAR(10) + 
'03/07/2018 - Solicitação da seguradora referente aos documentos ' + CHAR(13) + CHAR(10) + 
'03/07/2018 - Dinheiro do numerário em conta ' + CHAR(13) + CHAR(10) + 
'21/06/2018 - Enviado Numerário. Agdo transferência do numerário e Documentos' + CHAR(13) + CHAR(10) + 
'07/05/2019 - Informado que o procedimento a ser adotado será prorrogação por 3 meses' + CHAR(13) + CHAR(10) + 
'04/05/2018 - Cobrado procedimento a ser adotado ' + CHAR(13) + CHAR(10) + 
'16/04/2018 - Processo Incluso no Controle' + CHAR(13) + CHAR(10) + 
'* Considerado o prazo do Contrato de Locação, 7 meses a contar da data de assinatura (Cláusula 06 Contrato), até 11/07/2018.' + CHAR(13) + CHAR(10) + 
'* Fiscal Concedeu o regime até 19/09/2018, 7 meses a contar do desembaraço.'</v>
      </c>
      <c r="X20" t="str">
        <v>WHEN 18 THEN
'DIVERSOS EQUIPAMENTOS CONFORME DI'</v>
      </c>
    </row>
    <row r="21" spans="1:24" ht="53.25" customHeight="1" x14ac:dyDescent="0.25">
      <c r="A21" t="str">
        <f>B21&amp;" - "&amp;COUNTIF($B$3:B21,B21)</f>
        <v>MAMMOET - 13</v>
      </c>
      <c r="B21" s="44" t="s">
        <v>19</v>
      </c>
      <c r="C21" s="83">
        <v>1905629534</v>
      </c>
      <c r="D21" s="84" t="s">
        <v>127</v>
      </c>
      <c r="E21" s="85" t="s">
        <v>128</v>
      </c>
      <c r="F21" s="86" t="s">
        <v>21</v>
      </c>
      <c r="G21" s="87">
        <v>131905052962183</v>
      </c>
      <c r="H21" s="50">
        <f t="shared" si="0"/>
        <v>45711</v>
      </c>
      <c r="I21" s="19">
        <f t="shared" si="1"/>
        <v>45739</v>
      </c>
      <c r="J21" s="51" t="s">
        <v>129</v>
      </c>
      <c r="K21" s="65" t="s">
        <v>130</v>
      </c>
      <c r="L21" s="88">
        <v>45770</v>
      </c>
      <c r="M21" s="89">
        <v>43552</v>
      </c>
      <c r="N21" s="89">
        <v>43564</v>
      </c>
      <c r="O21" s="90" t="s">
        <v>131</v>
      </c>
      <c r="P21" s="56">
        <v>11426377000638</v>
      </c>
      <c r="Q21" s="91" t="s">
        <v>132</v>
      </c>
      <c r="R21" s="58">
        <v>201900038644169</v>
      </c>
      <c r="S21" s="28">
        <v>46226</v>
      </c>
      <c r="T21" s="60" t="s">
        <v>133</v>
      </c>
      <c r="U21" t="s">
        <v>529</v>
      </c>
      <c r="V21" t="str">
        <f t="shared" si="2"/>
        <v>'23/12/2024 - Juntada efetuada' + CHAR(13) + CHAR(10) + 
'23/12/2024 - Docs recebidos' + CHAR(13) + CHAR(10) + 
'25/11/2024 - Cobrado procedimento a ser adotado' + CHAR(13) + CHAR(10) + 
'22/11/2024 - Juntada efetuada' + CHAR(13) + CHAR(10) + 
'22/11/2024 - Docs recebidos' + CHAR(13) + CHAR(10) + 
'14/11/2024 - Numerario enviado ag retorno' + CHAR(13) + CHAR(10) + 
'12/11/2024 - Soclitiado prorrogaçao por mais 1 mes' + CHAR(13) + CHAR(10) + 
'30/09/2024 - Cobrado procedimento a ser adotado' + CHAR(13) + CHAR(10) + 
'23/06/2024 - Juntada efetuada' + CHAR(13) + CHAR(10) + 
'21/06/2024 - Docs recebidos' + CHAR(13) + CHAR(10) + 
'14/06/2024 - Enviado numerario, ag retorno' + CHAR(13) + CHAR(10) + 
'11/06/2024 - Solicitado prorrogação por mais 5 meses' + CHAR(13) + CHAR(10) + 
'03/06/2024 - Cobrado novamente' + CHAR(13) + CHAR(10) + 
'30/04/2024 - Cobrado procedimento a ser adotado' + CHAR(13) + CHAR(10) + 
'23/11/2023 - Juntada efetuada' + CHAR(13) + CHAR(10) + 
'22/11/2023 - Docs recebidos' + CHAR(13) + CHAR(10) + 
'27/10/2023 - Numerario e RPR foi enviado, ag retorno' + CHAR(13) + CHAR(10) + 
'26/10/2023 - Cobrado novamente, informado que será prorrogado por mais 7 meses' + CHAR(13) + CHAR(10) + 
'29/09/2023 - Cobrado procedimento a ser adotado' + CHAR(13) + CHAR(10) + 
'19/09/2023 - Juntada efetuada pelo DOSSIE' + CHAR(13) + CHAR(10) + 
'18/09/2023 - Recebido docs' + CHAR(13) + CHAR(10) + 
'05/09/2023 - Enviado Numerario e RPR, ag retorno' + CHAR(13) + CHAR(10) + 
'30/08/2023 - SOlicitado prorrogação por mais 2 meses' + CHAR(13) + CHAR(10) + 
'27/07/2023 - Cobrado procedimento a ser adotado' + CHAR(13) + CHAR(10) + 
'24/07/2023 - Apolice recebida e juntada' + CHAR(13) + CHAR(10) + 
'21/07/2023 - Juntada efetuada sem apolice' + CHAR(13) + CHAR(10) + 
'18/07/2023 - Docs recebidos, exceto Apolice' + CHAR(13) + CHAR(10) + 
'27/06/2023 - Numerario, TR e RPR enviados, ag retorno' + CHAR(13) + CHAR(10) + 
'21/06/2023 - Solicitado prorrogação por 2 meses' + CHAR(13) + CHAR(10) + 
'01/06/2023 - Cobrado procedimento a ser adotado' + CHAR(13) + CHAR(10) + 
'24/01/2023 - Juntada efetuada DOSSIE  e E-CAC, Apolice recebida' + CHAR(13) + CHAR(10) + 
'23/01/2023 - Docs recebidos, exceto APOLICE, juntada efetuada, aguardando APOLICE' + CHAR(13) + CHAR(10) + 
'10/01/2023 - Informado que será prorrogado por 6 meses, numerario, RPR e TR enviados, aguardando retorno' + CHAR(13) + CHAR(10) + 
'25/11/2022 - Cobrado procedimento a ser adotado' + CHAR(13) + CHAR(10) + 
'20/01/2022 - Juntada efetuada no E-CAC e DOSSIE' + CHAR(13) + CHAR(10) + 
'03/01/2022 - Informado que será prorrogado por 12 meses' + CHAR(13) + CHAR(10) + 
'28/12/2021 - Cobrado novamente' + CHAR(13) + CHAR(10) + 
'23/11/2021 - Cobrado procedimento a ser adotado' + CHAR(13) + CHAR(10) + 
'23/07/2021 - Docs recebidos, aguardando APOLICE, juntada efetuada através do E-CAC e DOSSIE sem APOLICE, APOLICE recebida, doc juntado' + CHAR(13) + CHAR(10) + 
'06/07/2021 - Solicitado prorrogação por 6 meses, TR e Numerario enviados' + CHAR(13) + CHAR(10) + 
'25/06/2021 - Cobrado novamente' + CHAR(13) + CHAR(10) + 
'25/05/2021 - Cobrado procedimento a ser adotado' + CHAR(13) + CHAR(10) + 
'04/05/2021 - Esteiras do guindaste com defeito e foram reexportadas, DI 21/0585528-7 para novas esteiras, acopladas ao guindaste' + CHAR(13) + CHAR(10) + 
'08/02/2021 - Despacho Decisorio' + CHAR(13) + CHAR(10) + 
'21/01/2021 - Docs recebidos, juntada feita no E-CAC' + CHAR(13) + CHAR(10) + 
'13/01/2021 - Cobrado docs' + CHAR(13) + CHAR(10) + 
'23/12/2020 - Informado que será prorrogado por 6 meses, TR e Numerario enviados' + CHAR(13) + CHAR(10) + 
'23/11/2020 - Cobrado procedimento a ser adotado' + CHAR(13) + CHAR(10) + 
'15/09/2020 - Despacho Decisorio' + CHAR(13) + CHAR(10) + 
'09/09/2020 - E-CAC com erro (antivirus analisando constantemente), documentos feitos pelo SVA, e protocolo fisicamente junto a RECEITA' + CHAR(13) + CHAR(10) + 
'27/08/2020 - Solicitado prorrogação ate 23/01/2021, TR  e Numerário enviados' + CHAR(13) + CHAR(10) + 
'17/08/2020 - Cobrado novamente' + CHAR(13) + CHAR(10) + 
'10/07/2020 - Cobrado qual procedimento deverá ser adotado' + CHAR(13) + CHAR(10) + 
'18/06/2020 - Despacho Decisorio' + CHAR(13) + CHAR(10) + 
'08/06/2020 - Juntada enviada pelo E-CAC' + CHAR(13) + CHAR(10) + 
'28/05/2020 - TR e Numerario enviados, aguardando documentos' + CHAR(13) + CHAR(10) + 
'27/05/2020 - Cobrado novamente, será prorrogado por mais 3 meses' + CHAR(13) + CHAR(10) + 
'09/04/2020 - Cobrado procedimento a ser adotado' + CHAR(13) + CHAR(10) + 
'29/11/2019 - Juntada protocolada no e-CAC.' + CHAR(13) + CHAR(10) + 
'25/11/2019 - Recebido a documentação para inicio da prorrogação.' + CHAR(13) + CHAR(10) + 
'14/11/2019 - Cobrado qual procedimento será adotado.' + CHAR(13) + CHAR(10) + 
'31/10/2019 - Enviado o numerário e aguardando documentação para inicio da prorrogação.' + CHAR(13) + CHAR(10) + 
'29/10/2019 - Recebido a informação que será prorrogado por 6 meses.' + CHAR(13) + CHAR(10) + 
'09/10/2019 - Juntada enviada no e-CAC.' + CHAR(13) + CHAR(10) + 
'08/10/2019 - Recebido os documentos para inicio da prorrogação.' + CHAR(13) + CHAR(10) + 
'07/10/2019 - Cobrado documentação para inicio da prorrogação.' + CHAR(13) + CHAR(10) + 
'02/10/2019 - Cobrado documentação para inicio da prorrogação.' + CHAR(13) + CHAR(10) + 
'19/09/2019 - Enviando TR e numerario.' + CHAR(13) + CHAR(10) + 
'13/09/2019 - Inormado que será prorrogado por dois meses.' + CHAR(13) + CHAR(10) + 
'29/08/2019 - Cobrado qual procedimento será adotado.' + CHAR(13) + CHAR(10) + 
'24/06/2019 - Processo Incluso no controle'</v>
      </c>
      <c r="W21" t="str">
        <v>WHEN 19 THEN
'23/12/2024 - Juntada efetuada' + CHAR(13) + CHAR(10) + 
'23/12/2024 - Docs recebidos' + CHAR(13) + CHAR(10) + 
'25/11/2024 - Cobrado procedimento a ser adotado' + CHAR(13) + CHAR(10) + 
'22/11/2024 - Juntada efetuada' + CHAR(13) + CHAR(10) + 
'22/11/2024 - Docs recebidos' + CHAR(13) + CHAR(10) + 
'14/11/2024 - Numerario enviado ag retorno' + CHAR(13) + CHAR(10) + 
'12/11/2024 - Soclitiado prorrogaçao por mais 1 mes' + CHAR(13) + CHAR(10) + 
'30/09/2024 - Cobrado procedimento a ser adotado' + CHAR(13) + CHAR(10) + 
'23/06/2024 - Juntada efetuada' + CHAR(13) + CHAR(10) + 
'21/06/2024 - Docs recebidos' + CHAR(13) + CHAR(10) + 
'14/06/2024 - Enviado numerario, ag retorno' + CHAR(13) + CHAR(10) + 
'11/06/2024 - Solicitado prorrogação por mais 5 meses' + CHAR(13) + CHAR(10) + 
'03/06/2024 - Cobrado novamente' + CHAR(13) + CHAR(10) + 
'30/04/2024 - Cobrado procedimento a ser adotado' + CHAR(13) + CHAR(10) + 
'23/11/2023 - Juntada efetuada' + CHAR(13) + CHAR(10) + 
'22/11/2023 - Docs recebidos' + CHAR(13) + CHAR(10) + 
'27/10/2023 - Numerario e RPR foi enviado, ag retorno' + CHAR(13) + CHAR(10) + 
'26/10/2023 - Cobrado novamente, informado que será prorrogado por mais 7 meses' + CHAR(13) + CHAR(10) + 
'29/09/2023 - Cobrado procedimento a ser adotado' + CHAR(13) + CHAR(10) + 
'19/09/2023 - Juntada efetuada pelo DOSSIE' + CHAR(13) + CHAR(10) + 
'18/09/2023 - Recebido docs' + CHAR(13) + CHAR(10) + 
'05/09/2023 - Enviado Numerario e RPR, ag retorno' + CHAR(13) + CHAR(10) + 
'30/08/2023 - SOlicitado prorrogação por mais 2 meses' + CHAR(13) + CHAR(10) + 
'27/07/2023 - Cobrado procedimento a ser adotado' + CHAR(13) + CHAR(10) + 
'24/07/2023 - Apolice recebida e juntada' + CHAR(13) + CHAR(10) + 
'21/07/2023 - Juntada efetuada sem apolice' + CHAR(13) + CHAR(10) + 
'18/07/2023 - Docs recebidos, exceto Apolice' + CHAR(13) + CHAR(10) + 
'27/06/2023 - Numerario, TR e RPR enviados, ag retorno' + CHAR(13) + CHAR(10) + 
'21/06/2023 - Solicitado prorrogação por 2 meses' + CHAR(13) + CHAR(10) + 
'01/06/2023 - Cobrado procedimento a ser adotado' + CHAR(13) + CHAR(10) + 
'24/01/2023 - Juntada efetuada DOSSIE  e E-CAC, Apolice recebida' + CHAR(13) + CHAR(10) + 
'23/01/2023 - Docs recebidos, exceto APOLICE, juntada efetuada, aguardando APOLICE' + CHAR(13) + CHAR(10) + 
'10/01/2023 - Informado que será prorrogado por 6 meses, numerario, RPR e TR enviados, aguardando retorno' + CHAR(13) + CHAR(10) + 
'25/11/2022 - Cobrado procedimento a ser adotado' + CHAR(13) + CHAR(10) + 
'20/01/2022 - Juntada efetuada no E-CAC e DOSSIE' + CHAR(13) + CHAR(10) + 
'03/01/2022 - Informado que será prorrogado por 12 meses' + CHAR(13) + CHAR(10) + 
'28/12/2021 - Cobrado novamente' + CHAR(13) + CHAR(10) + 
'23/11/2021 - Cobrado procedimento a ser adotado' + CHAR(13) + CHAR(10) + 
'23/07/2021 - Docs recebidos, aguardando APOLICE, juntada efetuada através do E-CAC e DOSSIE sem APOLICE, APOLICE recebida, doc juntado' + CHAR(13) + CHAR(10) + 
'06/07/2021 - Solicitado prorrogação por 6 meses, TR e Numerario enviados' + CHAR(13) + CHAR(10) + 
'25/06/2021 - Cobrado novamente' + CHAR(13) + CHAR(10) + 
'25/05/2021 - Cobrado procedimento a ser adotado' + CHAR(13) + CHAR(10) + 
'04/05/2021 - Esteiras do guindaste com defeito e foram reexportadas, DI 21/0585528-7 para novas esteiras, acopladas ao guindaste' + CHAR(13) + CHAR(10) + 
'08/02/2021 - Despacho Decisorio' + CHAR(13) + CHAR(10) + 
'21/01/2021 - Docs recebidos, juntada feita no E-CAC' + CHAR(13) + CHAR(10) + 
'13/01/2021 - Cobrado docs' + CHAR(13) + CHAR(10) + 
'23/12/2020 - Informado que será prorrogado por 6 meses, TR e Numerario enviados' + CHAR(13) + CHAR(10) + 
'23/11/2020 - Cobrado procedimento a ser adotado' + CHAR(13) + CHAR(10) + 
'15/09/2020 - Despacho Decisorio' + CHAR(13) + CHAR(10) + 
'09/09/2020 - E-CAC com erro (antivirus analisando constantemente), documentos feitos pelo SVA, e protocolo fisicamente junto a RECEITA' + CHAR(13) + CHAR(10) + 
'27/08/2020 - Solicitado prorrogação ate 23/01/2021, TR  e Numerário enviados' + CHAR(13) + CHAR(10) + 
'17/08/2020 - Cobrado novamente' + CHAR(13) + CHAR(10) + 
'10/07/2020 - Cobrado qual procedimento deverá ser adotado' + CHAR(13) + CHAR(10) + 
'18/06/2020 - Despacho Decisorio' + CHAR(13) + CHAR(10) + 
'08/06/2020 - Juntada enviada pelo E-CAC' + CHAR(13) + CHAR(10) + 
'28/05/2020 - TR e Numerario enviados, aguardando documentos' + CHAR(13) + CHAR(10) + 
'27/05/2020 - Cobrado novamente, será prorrogado por mais 3 meses' + CHAR(13) + CHAR(10) + 
'09/04/2020 - Cobrado procedimento a ser adotado' + CHAR(13) + CHAR(10) + 
'29/11/2019 - Juntada protocolada no e-CAC.' + CHAR(13) + CHAR(10) + 
'25/11/2019 - Recebido a documentação para inicio da prorrogação.' + CHAR(13) + CHAR(10) + 
'14/11/2019 - Cobrado qual procedimento será adotado.' + CHAR(13) + CHAR(10) + 
'31/10/2019 - Enviado o numerário e aguardando documentação para inicio da prorrogação.' + CHAR(13) + CHAR(10) + 
'29/10/2019 - Recebido a informação que será prorrogado por 6 meses.' + CHAR(13) + CHAR(10) + 
'09/10/2019 - Juntada enviada no e-CAC.' + CHAR(13) + CHAR(10) + 
'08/10/2019 - Recebido os documentos para inicio da prorrogação.' + CHAR(13) + CHAR(10) + 
'07/10/2019 - Cobrado documentação para inicio da prorrogação.' + CHAR(13) + CHAR(10) + 
'02/10/2019 - Cobrado documentação para inicio da prorrogação.' + CHAR(13) + CHAR(10) + 
'19/09/2019 - Enviando TR e numerario.' + CHAR(13) + CHAR(10) + 
'13/09/2019 - Inormado que será prorrogado por dois meses.' + CHAR(13) + CHAR(10) + 
'29/08/2019 - Cobrado qual procedimento será adotado.' + CHAR(13) + CHAR(10) + 
'24/06/2019 - Processo Incluso no controle'</v>
      </c>
      <c r="X21" t="str">
        <v>WHEN 19 THEN
'GUINDASTE AUTOPROPELIDO SOBRE ESTEIRAS, MARCA TEREX-DEMAG, MODELO CC2800-I, NUMERO DE SERIE 62277, ANO DE FABRICAÇÃO 2008, USADO, NUMERO DA FROTA 1331, OMPUTADORIZADO, ACIONADO POR MOTOR DIESEL, CAPACIDADE DE 600 TONELADAS, SUPERLIFT, CONTRA-PESOS,COM TODOS ACESSÓRIOS PARA SEU FUNCIONAMENTO, DESMONTADO PARCIALMENTE PARA MANUSEIO E TRANSPORTE.'</v>
      </c>
    </row>
    <row r="22" spans="1:24" ht="53.25" customHeight="1" x14ac:dyDescent="0.25">
      <c r="A22" t="str">
        <f>B22&amp;" - "&amp;COUNTIF($B$3:B22,B22)</f>
        <v>MAMMOET - 14</v>
      </c>
      <c r="B22" s="44" t="s">
        <v>19</v>
      </c>
      <c r="C22" s="83">
        <v>1906086887</v>
      </c>
      <c r="D22" s="84" t="s">
        <v>134</v>
      </c>
      <c r="E22" s="85" t="s">
        <v>135</v>
      </c>
      <c r="F22" s="86" t="s">
        <v>55</v>
      </c>
      <c r="G22" s="87">
        <v>131905052962345</v>
      </c>
      <c r="H22" s="50">
        <f t="shared" si="0"/>
        <v>45711</v>
      </c>
      <c r="I22" s="19">
        <f t="shared" si="1"/>
        <v>45739</v>
      </c>
      <c r="J22" s="51" t="s">
        <v>129</v>
      </c>
      <c r="K22" s="65" t="s">
        <v>136</v>
      </c>
      <c r="L22" s="88">
        <v>45770</v>
      </c>
      <c r="M22" s="89">
        <v>43559</v>
      </c>
      <c r="N22" s="89">
        <v>43564</v>
      </c>
      <c r="O22" s="90" t="s">
        <v>131</v>
      </c>
      <c r="P22" s="56">
        <v>11426377000638</v>
      </c>
      <c r="Q22" s="91" t="s">
        <v>137</v>
      </c>
      <c r="R22" s="58">
        <v>201900038679949</v>
      </c>
      <c r="S22" s="28"/>
      <c r="T22" s="60" t="s">
        <v>138</v>
      </c>
      <c r="U22" t="s">
        <v>529</v>
      </c>
      <c r="V22" t="str">
        <f t="shared" si="2"/>
        <v>'19/12/2024 - Juntada efetuada' + CHAR(13) + CHAR(10) + 
'17/12/2024 - Docs recebidos' + CHAR(13) + CHAR(10) + 
'25/11/2024 - Cobrado procedimento a ser adotado' + CHAR(13) + CHAR(10) + 
'22/11/2024 - Juntada efetuada' + CHAR(13) + CHAR(10) + 
'22/11/2024 - Docs recebidos' + CHAR(13) + CHAR(10) + 
'14/11/2024 - Numerario enviado, ag retorno' + CHAR(13) + CHAR(10) + 
'12/11/2024 - SOlicitado renovaçao por mais 1 mes' + CHAR(13) + CHAR(10) + 
'30/09/2024 - Cobrado procedimento a ser adotado' + CHAR(13) + CHAR(10) + 
'21/06/2024 - Juntada efetuada' + CHAR(13) + CHAR(10) + 
'19/06/2024 - Docs recebidos' + CHAR(13) + CHAR(10) + 
'14/06/2024 - Numerario enviado, ag retorno' + CHAR(13) + CHAR(10) + 
'11/06/2024 - Solicitado prorrogação por mais 5 meses' + CHAR(13) + CHAR(10) + 
'03/06/2024 - Cobrado novamente' + CHAR(13) + CHAR(10) + 
'30/04/2024 - Cobrado procedimento a ser adotado' + CHAR(13) + CHAR(10) + 
'15/01/2024 - Juntada efetuada' + CHAR(13) + CHAR(10) + 
'12/01/2024 - Docs recebidos' + CHAR(13) + CHAR(10) + 
'05/01/2024 - RPR e Numerario enviados, ag retorno' + CHAR(13) + CHAR(10) + 
'04/01/2024 - Solicitado prorrogação por mais 5 meses' + CHAR(13) + CHAR(10) + 
'28/12/2023 - Cobrado novamente' + CHAR(13) + CHAR(10) + 
'01/12/2023 - Cobrado procedimento a ser adotado' + CHAR(13) + CHAR(10) + 
'21/07/2023 - Juntada efetuada pelo DOSSIE' + CHAR(13) + CHAR(10) + 
'18/07/2023 - Docs recebidos' + CHAR(13) + CHAR(10) + 
'26/06/2023 - Solicitado renovação por 6 meses, numerario enviado, ag retorno' + CHAR(13) + CHAR(10) + 
'01/06/2023 - Cobrado procedimento a ser adotado' + CHAR(13) + CHAR(10) + 
'19/01/2023 - Juntada efetuada no E-CAC e PORTAL UNICO' + CHAR(13) + CHAR(10) + 
'11/01/2023 - Recebidos docs' + CHAR(13) + CHAR(10) + 
'02/01/2023 - Enviado numerario equivalente a 6 meses, aguardando retorno' + CHAR(13) + CHAR(10) + 
'25/11/2022 - Cobrado procedimento a ser adotado' + CHAR(13) + CHAR(10) + 
'20/01/2022 - Juntada efetuada através do E-CAC e DOSSIE' + CHAR(13) + CHAR(10) + 
'03/01/2022 - Informado que será prorrogado por 12 meses' + CHAR(13) + CHAR(10) + 
'28/12/2021 - Cobrado novamente' + CHAR(13) + CHAR(10) + 
'23/11/2021 - Cobrado procedimento a ser adotado' + CHAR(13) + CHAR(10) + 
'21/07/2021 - Recebido docs, juntada efetuada pelo e E-CAC e DOSSIE' + CHAR(13) + CHAR(10) + 
'06/07/2021 - Solicitado prorrogação por 6 meses, TR e Numerario enviados' + CHAR(13) + CHAR(10) + 
'25/06/2021 - Cobrado novamente' + CHAR(13) + CHAR(10) + 
'25/05/2021 - Cobrado procedimento a ser adotado' + CHAR(13) + CHAR(10) + 
'23/04/2021 - Docs recebidos, juntada efetuada pelo E-CAC e DOSSIE' + CHAR(13) + CHAR(10) + 
'16/04/2021 - Cobrado novamente' + CHAR(13) + CHAR(10) + 
'30/03/2021 - Solcitado Prorrogação por 3 meses, Numerario enviado, ag docs' + CHAR(13) + CHAR(10) + 
'25/03/2021 - Cobrado novamente' + CHAR(13) + CHAR(10) + 
'22/02/2021 - Cobrado procedimento a ser adotado' + CHAR(13) + CHAR(10) + 
'04/02/2021 - Despacho Decisorio' + CHAR(13) + CHAR(10) + 
'21/01/2021 - Docs recebidos, juntada efetuada no E-CAC' + CHAR(13) + CHAR(10) + 
'13/01/2021 - Cobrado docs' + CHAR(13) + CHAR(10) + 
'30/12/2020 - Solicitado prorrogação por mais 3 meses, Numerario enviado' + CHAR(13) + CHAR(10) + 
'29/12/2020 - Cobrado novamente' + CHAR(13) + CHAR(10) + 
'23/11/2020 - Cobrado procedimento a ser adotado' + CHAR(13) + CHAR(10) + 
'30/09/2020 - Despacho Decisorio' + CHAR(13) + CHAR(10) + 
'09/09/2020 - Juntada enviada pelo E-CAC' + CHAR(13) + CHAR(10) + 
'27/08/2020 - Solicitado prorrogação ate 23/01/2021, TR  e Numerário enviados' + CHAR(13) + CHAR(10) + 
'17/08/2020 - Cobrado novamente' + CHAR(13) + CHAR(10) + 
'10/07/2020 - Cobrado qual procedimento deverá ser adotado' + CHAR(13) + CHAR(10) + 
'16/06/2020 - Despacho Decisorio' + CHAR(13) + CHAR(10) + 
'08/06/2020 - Juntada enviada pelo E-CAC' + CHAR(13) + CHAR(10) + 
'28/05/2020 - TR e numerario enviados, aguardando documentos' + CHAR(13) + CHAR(10) + 
'27/05/2020 - Cobrado novamente, informado que será prorrogado por mais 3 meses' + CHAR(13) + CHAR(10) + 
'09/04/2020 - Cobrado procedimento a ser adotado' + CHAR(13) + CHAR(10) + 
'29/11/2019 - Juntada enviada no e-CAC.' + CHAR(13) + CHAR(10) + 
'25/11/2019 -Recebido os documentos para inicio da prorrogação.' + CHAR(13) + CHAR(10) + 
'14/11/2019 - Cobrado documentos para inicio da prorrogação.' + CHAR(13) + CHAR(10) + 
'31/10/2019 - Enviado o numerário e aguardando documentação para inicio da prorrogação.' + CHAR(13) + CHAR(10) + 
'29/10/2019 - Recebido a informação que será prorrogado por 6 meses.' + CHAR(13) + CHAR(10) + 
'09/10/2019 - Juntada enviada no e-CAC.' + CHAR(13) + CHAR(10) + 
'08/10/2019 - Recebido os documentos para inicio da prorrogação.' + CHAR(13) + CHAR(10) + 
'07/10/2019 - Cobrado documentação para inicio da prorrogação.' + CHAR(13) + CHAR(10) + 
'02/10/2019 - Cobrado documentação para inicio da prorrogação.' + CHAR(13) + CHAR(10) + 
'19/09/2019 - Enviando TR e numerario.' + CHAR(13) + CHAR(10) + 
'13/09/2019 - Inormado que será prorrogado por dois meses.' + CHAR(13) + CHAR(10) + 
'29/08/2019 - Cobrado qual procedimento será adotado.' + CHAR(13) + CHAR(10) + 
'16/05/2019 - Processo Incluso no controle'</v>
      </c>
      <c r="W22" t="str">
        <v>WHEN 20 THEN
'19/12/2024 - Juntada efetuada' + CHAR(13) + CHAR(10) + 
'17/12/2024 - Docs recebidos' + CHAR(13) + CHAR(10) + 
'25/11/2024 - Cobrado procedimento a ser adotado' + CHAR(13) + CHAR(10) + 
'22/11/2024 - Juntada efetuada' + CHAR(13) + CHAR(10) + 
'22/11/2024 - Docs recebidos' + CHAR(13) + CHAR(10) + 
'14/11/2024 - Numerario enviado, ag retorno' + CHAR(13) + CHAR(10) + 
'12/11/2024 - SOlicitado renovaçao por mais 1 mes' + CHAR(13) + CHAR(10) + 
'30/09/2024 - Cobrado procedimento a ser adotado' + CHAR(13) + CHAR(10) + 
'21/06/2024 - Juntada efetuada' + CHAR(13) + CHAR(10) + 
'19/06/2024 - Docs recebidos' + CHAR(13) + CHAR(10) + 
'14/06/2024 - Numerario enviado, ag retorno' + CHAR(13) + CHAR(10) + 
'11/06/2024 - Solicitado prorrogação por mais 5 meses' + CHAR(13) + CHAR(10) + 
'03/06/2024 - Cobrado novamente' + CHAR(13) + CHAR(10) + 
'30/04/2024 - Cobrado procedimento a ser adotado' + CHAR(13) + CHAR(10) + 
'15/01/2024 - Juntada efetuada' + CHAR(13) + CHAR(10) + 
'12/01/2024 - Docs recebidos' + CHAR(13) + CHAR(10) + 
'05/01/2024 - RPR e Numerario enviados, ag retorno' + CHAR(13) + CHAR(10) + 
'04/01/2024 - Solicitado prorrogação por mais 5 meses' + CHAR(13) + CHAR(10) + 
'28/12/2023 - Cobrado novamente' + CHAR(13) + CHAR(10) + 
'01/12/2023 - Cobrado procedimento a ser adotado' + CHAR(13) + CHAR(10) + 
'21/07/2023 - Juntada efetuada pelo DOSSIE' + CHAR(13) + CHAR(10) + 
'18/07/2023 - Docs recebidos' + CHAR(13) + CHAR(10) + 
'26/06/2023 - Solicitado renovação por 6 meses, numerario enviado, ag retorno' + CHAR(13) + CHAR(10) + 
'01/06/2023 - Cobrado procedimento a ser adotado' + CHAR(13) + CHAR(10) + 
'19/01/2023 - Juntada efetuada no E-CAC e PORTAL UNICO' + CHAR(13) + CHAR(10) + 
'11/01/2023 - Recebidos docs' + CHAR(13) + CHAR(10) + 
'02/01/2023 - Enviado numerario equivalente a 6 meses, aguardando retorno' + CHAR(13) + CHAR(10) + 
'25/11/2022 - Cobrado procedimento a ser adotado' + CHAR(13) + CHAR(10) + 
'20/01/2022 - Juntada efetuada através do E-CAC e DOSSIE' + CHAR(13) + CHAR(10) + 
'03/01/2022 - Informado que será prorrogado por 12 meses' + CHAR(13) + CHAR(10) + 
'28/12/2021 - Cobrado novamente' + CHAR(13) + CHAR(10) + 
'23/11/2021 - Cobrado procedimento a ser adotado' + CHAR(13) + CHAR(10) + 
'21/07/2021 - Recebido docs, juntada efetuada pelo e E-CAC e DOSSIE' + CHAR(13) + CHAR(10) + 
'06/07/2021 - Solicitado prorrogação por 6 meses, TR e Numerario enviados' + CHAR(13) + CHAR(10) + 
'25/06/2021 - Cobrado novamente' + CHAR(13) + CHAR(10) + 
'25/05/2021 - Cobrado procedimento a ser adotado' + CHAR(13) + CHAR(10) + 
'23/04/2021 - Docs recebidos, juntada efetuada pelo E-CAC e DOSSIE' + CHAR(13) + CHAR(10) + 
'16/04/2021 - Cobrado novamente' + CHAR(13) + CHAR(10) + 
'30/03/2021 - Solcitado Prorrogação por 3 meses, Numerario enviado, ag docs' + CHAR(13) + CHAR(10) + 
'25/03/2021 - Cobrado novamente' + CHAR(13) + CHAR(10) + 
'22/02/2021 - Cobrado procedimento a ser adotado' + CHAR(13) + CHAR(10) + 
'04/02/2021 - Despacho Decisorio' + CHAR(13) + CHAR(10) + 
'21/01/2021 - Docs recebidos, juntada efetuada no E-CAC' + CHAR(13) + CHAR(10) + 
'13/01/2021 - Cobrado docs' + CHAR(13) + CHAR(10) + 
'30/12/2020 - Solicitado prorrogação por mais 3 meses, Numerario enviado' + CHAR(13) + CHAR(10) + 
'29/12/2020 - Cobrado novamente' + CHAR(13) + CHAR(10) + 
'23/11/2020 - Cobrado procedimento a ser adotado' + CHAR(13) + CHAR(10) + 
'30/09/2020 - Despacho Decisorio' + CHAR(13) + CHAR(10) + 
'09/09/2020 - Juntada enviada pelo E-CAC' + CHAR(13) + CHAR(10) + 
'27/08/2020 - Solicitado prorrogação ate 23/01/2021, TR  e Numerário enviados' + CHAR(13) + CHAR(10) + 
'17/08/2020 - Cobrado novamente' + CHAR(13) + CHAR(10) + 
'10/07/2020 - Cobrado qual procedimento deverá ser adotado' + CHAR(13) + CHAR(10) + 
'16/06/2020 - Despacho Decisorio' + CHAR(13) + CHAR(10) + 
'08/06/2020 - Juntada enviada pelo E-CAC' + CHAR(13) + CHAR(10) + 
'28/05/2020 - TR e numerario enviados, aguardando documentos' + CHAR(13) + CHAR(10) + 
'27/05/2020 - Cobrado novamente, informado que será prorrogado por mais 3 meses' + CHAR(13) + CHAR(10) + 
'09/04/2020 - Cobrado procedimento a ser adotado' + CHAR(13) + CHAR(10) + 
'29/11/2019 - Juntada enviada no e-CAC.' + CHAR(13) + CHAR(10) + 
'25/11/2019 -Recebido os documentos para inicio da prorrogação.' + CHAR(13) + CHAR(10) + 
'14/11/2019 - Cobrado documentos para inicio da prorrogação.' + CHAR(13) + CHAR(10) + 
'31/10/2019 - Enviado o numerário e aguardando documentação para inicio da prorrogação.' + CHAR(13) + CHAR(10) + 
'29/10/2019 - Recebido a informação que será prorrogado por 6 meses.' + CHAR(13) + CHAR(10) + 
'09/10/2019 - Juntada enviada no e-CAC.' + CHAR(13) + CHAR(10) + 
'08/10/2019 - Recebido os documentos para inicio da prorrogação.' + CHAR(13) + CHAR(10) + 
'07/10/2019 - Cobrado documentação para inicio da prorrogação.' + CHAR(13) + CHAR(10) + 
'02/10/2019 - Cobrado documentação para inicio da prorrogação.' + CHAR(13) + CHAR(10) + 
'19/09/2019 - Enviando TR e numerario.' + CHAR(13) + CHAR(10) + 
'13/09/2019 - Inormado que será prorrogado por dois meses.' + CHAR(13) + CHAR(10) + 
'29/08/2019 - Cobrado qual procedimento será adotado.' + CHAR(13) + CHAR(10) + 
'16/05/2019 - Processo Incluso no controle'</v>
      </c>
      <c r="X22" t="str">
        <v>WHEN 20 THEN
'DIVERSOS EQUIPAMENTOS CONFROME DI'</v>
      </c>
    </row>
    <row r="23" spans="1:24" ht="53.25" customHeight="1" x14ac:dyDescent="0.25">
      <c r="A23" t="str">
        <f>B23&amp;" - "&amp;COUNTIF($B$3:B23,B23)</f>
        <v>MAMMOET - 15</v>
      </c>
      <c r="B23" s="44" t="s">
        <v>19</v>
      </c>
      <c r="C23" s="45">
        <v>2117294706</v>
      </c>
      <c r="D23" s="46" t="s">
        <v>139</v>
      </c>
      <c r="E23" s="47" t="s">
        <v>140</v>
      </c>
      <c r="F23" s="48" t="s">
        <v>21</v>
      </c>
      <c r="G23" s="49">
        <v>132105211325412</v>
      </c>
      <c r="H23" s="50">
        <f t="shared" si="0"/>
        <v>45711</v>
      </c>
      <c r="I23" s="19">
        <f t="shared" si="1"/>
        <v>45739</v>
      </c>
      <c r="J23" s="51" t="s">
        <v>141</v>
      </c>
      <c r="K23" s="52" t="s">
        <v>142</v>
      </c>
      <c r="L23" s="53">
        <v>45770</v>
      </c>
      <c r="M23" s="54">
        <v>44449</v>
      </c>
      <c r="N23" s="55">
        <v>44459</v>
      </c>
      <c r="O23" s="24" t="s">
        <v>93</v>
      </c>
      <c r="P23" s="56">
        <v>11426377000638</v>
      </c>
      <c r="Q23" s="57"/>
      <c r="R23" s="58">
        <v>202100119592274</v>
      </c>
      <c r="S23" s="28"/>
      <c r="T23" s="60" t="s">
        <v>143</v>
      </c>
      <c r="U23" t="s">
        <v>529</v>
      </c>
      <c r="V23" t="str">
        <f t="shared" si="2"/>
        <v>'19/12/2024 - Juntada efetuada' + CHAR(13) + CHAR(10) + 
'18/12/2024 - Docs recebidos' + CHAR(13) + CHAR(10) + 
'25/11/2024 - Cobrado procedimento a ser adotado' + CHAR(13) + CHAR(10) + 
'25/11/2024 - Juntada efetuada' + CHAR(13) + CHAR(10) + 
'22/11/2024 - Docs recebidos' + CHAR(13) + CHAR(10) + 
'14/11/2024 - Numerario enviado, ag retorno' + CHAR(13) + CHAR(10) + 
'11/11/2024 - Solicitado prorrogaçao por mais 1 mes' + CHAR(13) + CHAR(10) + 
'30/09/2024 - Cobrado procedimento a ser adotado' + CHAR(13) + CHAR(10) + 
'21/06/2024 - Juntada efetuada' + CHAR(13) + CHAR(10) + 
'19/06/2024 - Docs recebidos' + CHAR(13) + CHAR(10) + 
'14/06/2024 - Numerario enviado, ag retorno' + CHAR(13) + CHAR(10) + 
'11/06/2024 - Soclitiado prorrogação por mais 5 meses' + CHAR(13) + CHAR(10) + 
'03/06/2024 - Cobrado novamente' + CHAR(13) + CHAR(10) + 
'30/04/2024 - Cobrado procedimento a ser adotado' + CHAR(13) + CHAR(10) + 
'22/03/2024 - Juntada efetuada' + CHAR(13) + CHAR(10) + 
'14/03/2024 - Docs recedibos' + CHAR(13) + CHAR(10) + 
'11/03/2024 - Informado que será prorrogado por mais 3 meses, numerario, RPR e TR enviados, ag retorno' + CHAR(13) + CHAR(10) + 
'01/03/2024 - Cobrado novamente' + CHAR(13) + CHAR(10) + 
'25/01/2024 - Cobrado procedimento a ser adotado' + CHAR(13) + CHAR(10) + 
'20/10/2023 - Juntada efetuada' + CHAR(13) + CHAR(10) + 
'18/10/2023 - Docs recebidos' + CHAR(13) + CHAR(10) + 
'06/10/2023 - TR, RPR e Numerario enviado, ag retorno' + CHAR(13) + CHAR(10) + 
'03/10/2023 - Informado que será prorrogado por mais 5 meses' + CHAR(13) + CHAR(10) + 
'29/09/2023 - Cobrado novamente' + CHAR(13) + CHAR(10) + 
'30/08/2023 - Cobrado procedimento a ser adotado' + CHAR(13) + CHAR(10) + 
'21/07/2023 - Juntada efetuada através do DOSSIE' + CHAR(13) + CHAR(10) + 
'19/07/2023 - Docs recebidos' + CHAR(13) + CHAR(10) + 
'27/06/2023 - Numerario, TR e RPR enviados, ag retorno' + CHAR(13) + CHAR(10) + 
'22/06/2023 - Solicitado prorrogação por 3 meses' + CHAR(13) + CHAR(10) + 
'01/06/2023 - Cobrado procedimento a ser adotado' + CHAR(13) + CHAR(10) + 
'19/01/2023 - Juntada efetuada através do DOSSIÊ' + CHAR(13) + CHAR(10) + 
'12/01/2023 - Docs recebidos' + CHAR(13) + CHAR(10) + 
'02/01/2023 - Enviado Numerario, RPR e TR equivalente a 6 meses, aguardando retorno' + CHAR(13) + CHAR(10) + 
'25/11/2022 - Cobrado procedimento a ser adotado' + CHAR(13) + CHAR(10) + 
'21/01/2022 - Juntada anexada ao DOSSIE' + CHAR(13) + CHAR(10) + 
'03/01/2022 - Informado que será renovado por 12 meses' + CHAR(13) + CHAR(10) + 
'28/12/2021 - Cobrado novamente' + CHAR(13) + CHAR(10) + 
'23/11/2021 - Cobrado procedimento a ser adotado' + CHAR(13) + CHAR(10) + 
'29/10/2021 - Processo incluido no controle'</v>
      </c>
      <c r="W23" t="str">
        <v>WHEN 21 THEN
'19/12/2024 - Juntada efetuada' + CHAR(13) + CHAR(10) + 
'18/12/2024 - Docs recebidos' + CHAR(13) + CHAR(10) + 
'25/11/2024 - Cobrado procedimento a ser adotado' + CHAR(13) + CHAR(10) + 
'25/11/2024 - Juntada efetuada' + CHAR(13) + CHAR(10) + 
'22/11/2024 - Docs recebidos' + CHAR(13) + CHAR(10) + 
'14/11/2024 - Numerario enviado, ag retorno' + CHAR(13) + CHAR(10) + 
'11/11/2024 - Solicitado prorrogaçao por mais 1 mes' + CHAR(13) + CHAR(10) + 
'30/09/2024 - Cobrado procedimento a ser adotado' + CHAR(13) + CHAR(10) + 
'21/06/2024 - Juntada efetuada' + CHAR(13) + CHAR(10) + 
'19/06/2024 - Docs recebidos' + CHAR(13) + CHAR(10) + 
'14/06/2024 - Numerario enviado, ag retorno' + CHAR(13) + CHAR(10) + 
'11/06/2024 - Soclitiado prorrogação por mais 5 meses' + CHAR(13) + CHAR(10) + 
'03/06/2024 - Cobrado novamente' + CHAR(13) + CHAR(10) + 
'30/04/2024 - Cobrado procedimento a ser adotado' + CHAR(13) + CHAR(10) + 
'22/03/2024 - Juntada efetuada' + CHAR(13) + CHAR(10) + 
'14/03/2024 - Docs recedibos' + CHAR(13) + CHAR(10) + 
'11/03/2024 - Informado que será prorrogado por mais 3 meses, numerario, RPR e TR enviados, ag retorno' + CHAR(13) + CHAR(10) + 
'01/03/2024 - Cobrado novamente' + CHAR(13) + CHAR(10) + 
'25/01/2024 - Cobrado procedimento a ser adotado' + CHAR(13) + CHAR(10) + 
'20/10/2023 - Juntada efetuada' + CHAR(13) + CHAR(10) + 
'18/10/2023 - Docs recebidos' + CHAR(13) + CHAR(10) + 
'06/10/2023 - TR, RPR e Numerario enviado, ag retorno' + CHAR(13) + CHAR(10) + 
'03/10/2023 - Informado que será prorrogado por mais 5 meses' + CHAR(13) + CHAR(10) + 
'29/09/2023 - Cobrado novamente' + CHAR(13) + CHAR(10) + 
'30/08/2023 - Cobrado procedimento a ser adotado' + CHAR(13) + CHAR(10) + 
'21/07/2023 - Juntada efetuada através do DOSSIE' + CHAR(13) + CHAR(10) + 
'19/07/2023 - Docs recebidos' + CHAR(13) + CHAR(10) + 
'27/06/2023 - Numerario, TR e RPR enviados, ag retorno' + CHAR(13) + CHAR(10) + 
'22/06/2023 - Solicitado prorrogação por 3 meses' + CHAR(13) + CHAR(10) + 
'01/06/2023 - Cobrado procedimento a ser adotado' + CHAR(13) + CHAR(10) + 
'19/01/2023 - Juntada efetuada através do DOSSIÊ' + CHAR(13) + CHAR(10) + 
'12/01/2023 - Docs recebidos' + CHAR(13) + CHAR(10) + 
'02/01/2023 - Enviado Numerario, RPR e TR equivalente a 6 meses, aguardando retorno' + CHAR(13) + CHAR(10) + 
'25/11/2022 - Cobrado procedimento a ser adotado' + CHAR(13) + CHAR(10) + 
'21/01/2022 - Juntada anexada ao DOSSIE' + CHAR(13) + CHAR(10) + 
'03/01/2022 - Informado que será renovado por 12 meses' + CHAR(13) + CHAR(10) + 
'28/12/2021 - Cobrado novamente' + CHAR(13) + CHAR(10) + 
'23/11/2021 - Cobrado procedimento a ser adotado' + CHAR(13) + CHAR(10) + 
'29/10/2021 - Processo incluido no controle'</v>
      </c>
      <c r="X23" t="str">
        <v>WHEN 21 THEN
'SEÇÃO DE LANÇA DE 12 METROS USADA PARA GUINDASTE TEREX-DEMAG CC 2800 - 1 COM TODAS AS PEÇAS E ACESSÓRIOS PARA MONTAGEM E OPERAÇÃO, MARCA: TEREX DEMAG, TIPO: 12 METER MAIN BOOM INSERT 2724-20-01, NUMERO DE SÉRIE 62277, FLEET NUMBER 1331, ANO DE FABRICAÇÃO 2008 - USADO.'</v>
      </c>
    </row>
    <row r="24" spans="1:24" ht="53.25" customHeight="1" x14ac:dyDescent="0.25">
      <c r="A24" t="str">
        <f>B24&amp;" - "&amp;COUNTIF($B$3:B24,B24)</f>
        <v>MAMMOET - 16</v>
      </c>
      <c r="B24" s="44" t="s">
        <v>19</v>
      </c>
      <c r="C24" s="45">
        <v>2406046760</v>
      </c>
      <c r="D24" s="46" t="s">
        <v>144</v>
      </c>
      <c r="E24" s="47" t="s">
        <v>145</v>
      </c>
      <c r="F24" s="48" t="s">
        <v>21</v>
      </c>
      <c r="G24" s="49">
        <v>72405055138258</v>
      </c>
      <c r="H24" s="50">
        <f t="shared" si="0"/>
        <v>45713</v>
      </c>
      <c r="I24" s="19">
        <f t="shared" si="1"/>
        <v>45741</v>
      </c>
      <c r="J24" s="51" t="s">
        <v>146</v>
      </c>
      <c r="K24" s="92" t="s">
        <v>147</v>
      </c>
      <c r="L24" s="53">
        <v>45772</v>
      </c>
      <c r="M24" s="54">
        <v>45371</v>
      </c>
      <c r="N24" s="55">
        <v>45376</v>
      </c>
      <c r="O24" s="24" t="s">
        <v>58</v>
      </c>
      <c r="P24" s="56">
        <v>11426377000123</v>
      </c>
      <c r="Q24" s="57"/>
      <c r="R24" s="58">
        <v>202400230765378</v>
      </c>
      <c r="S24" s="27"/>
      <c r="T24" s="59" t="s">
        <v>148</v>
      </c>
      <c r="U24" t="s">
        <v>529</v>
      </c>
      <c r="V24" t="str">
        <f t="shared" si="2"/>
        <v>'23/12/2024 - Juntada efetuada, docs recebidos' + CHAR(13) + CHAR(10) + 
'29/11/2024 - Enviado numerario, ag retorno' + CHAR(13) + CHAR(10) + 
'27/11/2024 - Solicitado prorrogaçao por mais 4 meses' + CHAR(13) + CHAR(10) + 
'27/11/2024 - Cobrado procedimento a ser adotado' + CHAR(13) + CHAR(10) + 
'25/11/2024 - Juntada efetuada' + CHAR(13) + CHAR(10) + 
'22/11/2024 - Docs recebidos' + CHAR(13) + CHAR(10) + 
'14/11/2024 - Numerario enviado, ag retorno' + CHAR(13) + CHAR(10) + 
'12/11/2024 - Solicitado prorrogaçao por mais 1 mes' + CHAR(13) + CHAR(10) + 
'30/09/2024 - Cobrado procedimento a ser adotado' + CHAR(13) + CHAR(10) + 
'25/06/2024 - Juntada efetuada' + CHAR(13) + CHAR(10) + 
'25/06/2024 - Docs recebidos' + CHAR(13) + CHAR(10) + 
'17/06/2024 - Numerario enviado, ag retorno' + CHAR(13) + CHAR(10) + 
'11/06/2024 - Prorrogaçao por mais 5 meses' + CHAR(13) + CHAR(10) + 
'03/06/2024 - Cobrado novamente' + CHAR(13) + CHAR(10) + 
'30/04/2024 - Cobrado procedimento a ser adotado' + CHAR(13) + CHAR(10) + 
'08/04/2024 - Processo incluído no controle'</v>
      </c>
      <c r="W24" t="str">
        <v>WHEN 22 THEN
'23/12/2024 - Juntada efetuada, docs recebidos' + CHAR(13) + CHAR(10) + 
'29/11/2024 - Enviado numerario, ag retorno' + CHAR(13) + CHAR(10) + 
'27/11/2024 - Solicitado prorrogaçao por mais 4 meses' + CHAR(13) + CHAR(10) + 
'27/11/2024 - Cobrado procedimento a ser adotado' + CHAR(13) + CHAR(10) + 
'25/11/2024 - Juntada efetuada' + CHAR(13) + CHAR(10) + 
'22/11/2024 - Docs recebidos' + CHAR(13) + CHAR(10) + 
'14/11/2024 - Numerario enviado, ag retorno' + CHAR(13) + CHAR(10) + 
'12/11/2024 - Solicitado prorrogaçao por mais 1 mes' + CHAR(13) + CHAR(10) + 
'30/09/2024 - Cobrado procedimento a ser adotado' + CHAR(13) + CHAR(10) + 
'25/06/2024 - Juntada efetuada' + CHAR(13) + CHAR(10) + 
'25/06/2024 - Docs recebidos' + CHAR(13) + CHAR(10) + 
'17/06/2024 - Numerario enviado, ag retorno' + CHAR(13) + CHAR(10) + 
'11/06/2024 - Prorrogaçao por mais 5 meses' + CHAR(13) + CHAR(10) + 
'03/06/2024 - Cobrado novamente' + CHAR(13) + CHAR(10) + 
'30/04/2024 - Cobrado procedimento a ser adotado' + CHAR(13) + CHAR(10) + 
'08/04/2024 - Processo incluído no controle'</v>
      </c>
      <c r="X24" t="str">
        <v>WHEN 22 THEN
'LANÇA AUXILIAR MECÂNICA PARA AUMENTAR O COMPRIMENTO, ALTURA E RAIO DO GUINDASTE, USADO, CAPACIDADE: 90 TONS, MARCA: GROVE, MODELO: RT 890E, ANO DE FABRICAÇÃO 2012, NÚMERO DE EQUIPAMENTO/SÉRIE: 232649.'</v>
      </c>
    </row>
    <row r="25" spans="1:24" ht="53.25" customHeight="1" x14ac:dyDescent="0.25">
      <c r="A25" t="str">
        <f>B25&amp;" - "&amp;COUNTIF($B$3:B25,B25)</f>
        <v>MAMMOET - 17</v>
      </c>
      <c r="B25" s="93" t="s">
        <v>19</v>
      </c>
      <c r="C25" s="45">
        <v>2210462397</v>
      </c>
      <c r="D25" s="94" t="s">
        <v>149</v>
      </c>
      <c r="E25" s="47" t="s">
        <v>150</v>
      </c>
      <c r="F25" s="48" t="s">
        <v>21</v>
      </c>
      <c r="G25" s="95">
        <v>102205119780521</v>
      </c>
      <c r="H25" s="50">
        <f t="shared" si="0"/>
        <v>45716</v>
      </c>
      <c r="I25" s="19">
        <f t="shared" si="1"/>
        <v>45744</v>
      </c>
      <c r="J25" s="51" t="s">
        <v>40</v>
      </c>
      <c r="K25" s="96" t="s">
        <v>151</v>
      </c>
      <c r="L25" s="53">
        <v>45775</v>
      </c>
      <c r="M25" s="54">
        <v>44714</v>
      </c>
      <c r="N25" s="54">
        <v>44740</v>
      </c>
      <c r="O25" s="97" t="s">
        <v>152</v>
      </c>
      <c r="P25" s="56">
        <v>11426377000123</v>
      </c>
      <c r="Q25" s="57"/>
      <c r="R25" s="58">
        <v>202200151499195</v>
      </c>
      <c r="S25" s="28">
        <v>46540</v>
      </c>
      <c r="T25" s="82" t="s">
        <v>153</v>
      </c>
      <c r="U25" t="s">
        <v>529</v>
      </c>
      <c r="V25" t="str">
        <f t="shared" si="2"/>
        <v>'26/12/2024 - Juntada efetuada' + CHAR(13) + CHAR(10) + 
'23/12/2024 - Docs recebidos' + CHAR(13) + CHAR(10) + 
'28/10/2024 - Cobrado procedimento a ser adotado' + CHAR(13) + CHAR(10) + 
'27/09/2024 - Juntada efetuada' + CHAR(13) + CHAR(10) + 
'27/09/2024 - Docs recebidos' + CHAR(13) + CHAR(10) + 
'09/09/2024 - Cobrado novamente' + CHAR(13) + CHAR(10) + 
'05/08/2024 - Cobrado procedimento a ser adotado' + CHAR(13) + CHAR(10) + 
'28/06/2024 - Juntada efetuada' + CHAR(13) + CHAR(10) + 
'27/06/2024 - Docs recebidos' + CHAR(13) + CHAR(10) + 
'14/06/2024 - Numerario enviado, ag retorno' + CHAR(13) + CHAR(10) + 
'13/06/2024 - Solicitado prorrogação por mais 3 meses' + CHAR(13) + CHAR(10) + 
'03/06/2024 - Cobrado novamente' + CHAR(13) + CHAR(10) + 
'30/04/2024 - Cobrado procedimento a ser adotado' + CHAR(13) + CHAR(10) + 
'27/12/2023 - Juntada efetuada.' + CHAR(13) + CHAR(10) + 
'30/11/2023 - Numerario e RPR enviados, ag retorno' + CHAR(13) + CHAR(10) + 
'22/11/2023 - Informado que será prorrogado por mais 6 meses' + CHAR(13) + CHAR(10) + 
'30/10/2023 - Cobrado procedimento a ser adotado' + CHAR(13) + CHAR(10) + 
'27/06/2023 - Juntada efetuada através do DOSSIE' + CHAR(13) + CHAR(10) + 
'27/06/2023 - Doctos recebidos' + CHAR(13) + CHAR(10) + 
'01/06/2023 - Solicitado prorrogação por 6 meses, TR, RAT  e Numerario enviados, ag retorno' + CHAR(13) + CHAR(10) + 
'26/04/2023 - Cobrado procedimento a ser adotado' + CHAR(13) + CHAR(10) + 
'28/07/2022 - Processo incluido no controle'</v>
      </c>
      <c r="W25" t="str">
        <v>WHEN 23 THEN
'26/12/2024 - Juntada efetuada' + CHAR(13) + CHAR(10) + 
'23/12/2024 - Docs recebidos' + CHAR(13) + CHAR(10) + 
'28/10/2024 - Cobrado procedimento a ser adotado' + CHAR(13) + CHAR(10) + 
'27/09/2024 - Juntada efetuada' + CHAR(13) + CHAR(10) + 
'27/09/2024 - Docs recebidos' + CHAR(13) + CHAR(10) + 
'09/09/2024 - Cobrado novamente' + CHAR(13) + CHAR(10) + 
'05/08/2024 - Cobrado procedimento a ser adotado' + CHAR(13) + CHAR(10) + 
'28/06/2024 - Juntada efetuada' + CHAR(13) + CHAR(10) + 
'27/06/2024 - Docs recebidos' + CHAR(13) + CHAR(10) + 
'14/06/2024 - Numerario enviado, ag retorno' + CHAR(13) + CHAR(10) + 
'13/06/2024 - Solicitado prorrogação por mais 3 meses' + CHAR(13) + CHAR(10) + 
'03/06/2024 - Cobrado novamente' + CHAR(13) + CHAR(10) + 
'30/04/2024 - Cobrado procedimento a ser adotado' + CHAR(13) + CHAR(10) + 
'27/12/2023 - Juntada efetuada.' + CHAR(13) + CHAR(10) + 
'30/11/2023 - Numerario e RPR enviados, ag retorno' + CHAR(13) + CHAR(10) + 
'22/11/2023 - Informado que será prorrogado por mais 6 meses' + CHAR(13) + CHAR(10) + 
'30/10/2023 - Cobrado procedimento a ser adotado' + CHAR(13) + CHAR(10) + 
'27/06/2023 - Juntada efetuada através do DOSSIE' + CHAR(13) + CHAR(10) + 
'27/06/2023 - Doctos recebidos' + CHAR(13) + CHAR(10) + 
'01/06/2023 - Solicitado prorrogação por 6 meses, TR, RAT  e Numerario enviados, ag retorno' + CHAR(13) + CHAR(10) + 
'26/04/2023 - Cobrado procedimento a ser adotado' + CHAR(13) + CHAR(10) + 
'28/07/2022 - Processo incluido no controle'</v>
      </c>
      <c r="X25" t="str">
        <v>WHEN 23 THEN
'GUINDASTE AUTOPROPELIDO SOBRE ESTEIRAS, MARCA KOBELCO, MODELO CKE1100 G-2 , NÚMERO DE SERIE GK06-05004, ANO DE FABRICAÇÃO 2016 - USADO, NÚMERO DA FROTA 2678, COMPUTADORIZADO, ACIONADO POR MOTOR DIESEL, CAPACIDADE DE 110 TONELADAS, CONTRA-PESOS, COM TODOS ACESSÓRIOS PARA SEU FUNCIONAMENTO ATÉ 28 METROS DE LANÇA, DESMONTADO PARCIALMENTE PARA MANUSEIO E TRANSPORTE.'</v>
      </c>
    </row>
    <row r="26" spans="1:24" ht="53.25" customHeight="1" x14ac:dyDescent="0.25">
      <c r="A26" t="str">
        <f>B26&amp;" - "&amp;COUNTIF($B$3:B26,B26)</f>
        <v>MAMMOET - 18</v>
      </c>
      <c r="B26" s="39" t="s">
        <v>19</v>
      </c>
      <c r="C26" s="31">
        <v>2210427150</v>
      </c>
      <c r="D26" s="40" t="s">
        <v>154</v>
      </c>
      <c r="E26" s="13" t="s">
        <v>155</v>
      </c>
      <c r="F26" s="33" t="s">
        <v>21</v>
      </c>
      <c r="G26" s="41">
        <v>102205119780440</v>
      </c>
      <c r="H26" s="18">
        <f t="shared" si="0"/>
        <v>45716</v>
      </c>
      <c r="I26" s="63">
        <f t="shared" si="1"/>
        <v>45744</v>
      </c>
      <c r="J26" s="20" t="s">
        <v>40</v>
      </c>
      <c r="K26" s="42" t="s">
        <v>156</v>
      </c>
      <c r="L26" s="36">
        <v>45775</v>
      </c>
      <c r="M26" s="37">
        <v>44714</v>
      </c>
      <c r="N26" s="37">
        <v>44740</v>
      </c>
      <c r="O26" s="97" t="s">
        <v>152</v>
      </c>
      <c r="P26" s="38">
        <v>11426377000123</v>
      </c>
      <c r="Q26" s="26"/>
      <c r="R26" s="27">
        <v>202200151629293</v>
      </c>
      <c r="S26" s="28">
        <v>46540</v>
      </c>
      <c r="T26" s="29" t="s">
        <v>157</v>
      </c>
      <c r="U26" t="s">
        <v>529</v>
      </c>
      <c r="V26" t="str">
        <f t="shared" si="2"/>
        <v>'26/12/2024 - Juntada efetuada' + CHAR(13) + CHAR(10) + 
'23/12/2024 - Docs recebidos' + CHAR(13) + CHAR(10) + 
'28/10/2024 - Cobrado procedimento a ser adotado' + CHAR(13) + CHAR(10) + 
'27/09/2024 - Juntada efetuada' + CHAR(13) + CHAR(10) + 
'27/09/2024 - Docs recebidos' + CHAR(13) + CHAR(10) + 
'09/09/2024 - Cobrado novamente' + CHAR(13) + CHAR(10) + 
'05/08/2024 - Cobrado procedimento a ser adotado' + CHAR(13) + CHAR(10) + 
'28/06/2024 - Juntada efetuada' + CHAR(13) + CHAR(10) + 
'27/06/2024 - Docs recebidos' + CHAR(13) + CHAR(10) + 
'17/06/2024 - Numerario enviado, ag retorno' + CHAR(13) + CHAR(10) + 
'13/06/2024 - Prorrogação por mais 3 meses' + CHAR(13) + CHAR(10) + 
'30/04/2024 - Cobrado procedimento a ser adotado' + CHAR(13) + CHAR(10) + 
'26/12/2023 - Juntada efetuada.' + CHAR(13) + CHAR(10) + 
'30/11/2023 - Numerario e RPR enviados, ag retorno' + CHAR(13) + CHAR(10) + 
'22/11/2023 - Solicitado prorrogação por mais 6 meses' + CHAR(13) + CHAR(10) + 
'30/10/2023 - Cobrado procedimento a ser adotado' + CHAR(13) + CHAR(10) + 
'27/06/2023 - Juntada efetuada através do DOSSIE' + CHAR(13) + CHAR(10) + 
'26/06/2023 - Documentação recebida' + CHAR(13) + CHAR(10) + 
'01/06/2023 - Solicitado prorrogação por 6 meses, Numerario, TR e RAT enviados, aguardando retorno' + CHAR(13) + CHAR(10) + 
'26/04/2023 - Cobrado procediment a ser adotado' + CHAR(13) + CHAR(10) + 
'28/07/2022 - Processo incluido no controle'</v>
      </c>
      <c r="W26" t="str">
        <v>WHEN 24 THEN
'26/12/2024 - Juntada efetuada' + CHAR(13) + CHAR(10) + 
'23/12/2024 - Docs recebidos' + CHAR(13) + CHAR(10) + 
'28/10/2024 - Cobrado procedimento a ser adotado' + CHAR(13) + CHAR(10) + 
'27/09/2024 - Juntada efetuada' + CHAR(13) + CHAR(10) + 
'27/09/2024 - Docs recebidos' + CHAR(13) + CHAR(10) + 
'09/09/2024 - Cobrado novamente' + CHAR(13) + CHAR(10) + 
'05/08/2024 - Cobrado procedimento a ser adotado' + CHAR(13) + CHAR(10) + 
'28/06/2024 - Juntada efetuada' + CHAR(13) + CHAR(10) + 
'27/06/2024 - Docs recebidos' + CHAR(13) + CHAR(10) + 
'17/06/2024 - Numerario enviado, ag retorno' + CHAR(13) + CHAR(10) + 
'13/06/2024 - Prorrogação por mais 3 meses' + CHAR(13) + CHAR(10) + 
'30/04/2024 - Cobrado procedimento a ser adotado' + CHAR(13) + CHAR(10) + 
'26/12/2023 - Juntada efetuada.' + CHAR(13) + CHAR(10) + 
'30/11/2023 - Numerario e RPR enviados, ag retorno' + CHAR(13) + CHAR(10) + 
'22/11/2023 - Solicitado prorrogação por mais 6 meses' + CHAR(13) + CHAR(10) + 
'30/10/2023 - Cobrado procedimento a ser adotado' + CHAR(13) + CHAR(10) + 
'27/06/2023 - Juntada efetuada através do DOSSIE' + CHAR(13) + CHAR(10) + 
'26/06/2023 - Documentação recebida' + CHAR(13) + CHAR(10) + 
'01/06/2023 - Solicitado prorrogação por 6 meses, Numerario, TR e RAT enviados, aguardando retorno' + CHAR(13) + CHAR(10) + 
'26/04/2023 - Cobrado procediment a ser adotado' + CHAR(13) + CHAR(10) + 
'28/07/2022 - Processo incluido no controle'</v>
      </c>
      <c r="X26" t="str">
        <v>WHEN 24 THEN
'GUINDASTE AUTOPROPULSADO SOB ESTEIRAS, MARCA LIEBHERR, MODELO LR1300-W, SERIE 138128, ANO 2010 - USADO, NUMERO DE FROTA 1844, COM CAPACIDADE TOTAL DE ELEVAÇÃO MÁXIMA DE 300 TONELADAS, INTEIRAMENTE DESMONTADO PARA MANUSEIO E TRANSPORTE, COM TODOS OS SEUS ACESSÓRIOS PARA SEU FUNCIONAMENTO ATÉ 65 METROS DE LANÇA, COMPOSTODE: CORPO PRINCIPAL, ESTEIRAS, CONTRAPESOS, LANÇA PRINCIPAL , DISPOSITIVOS E FERRAMENTAS DE
MONTAGEM E IÇAMENTO E DEMAIS ACESSÓRIOS NECESSÁRIOS A OPERAÇÃO DO EQUIPAMENTO'</v>
      </c>
    </row>
    <row r="27" spans="1:24" ht="53.25" customHeight="1" x14ac:dyDescent="0.25">
      <c r="A27" t="str">
        <f>B27&amp;" - "&amp;COUNTIF($B$3:B27,B27)</f>
        <v>MAMMOET - 19</v>
      </c>
      <c r="B27" s="93" t="s">
        <v>19</v>
      </c>
      <c r="C27" s="45">
        <v>2210450267</v>
      </c>
      <c r="D27" s="94" t="s">
        <v>158</v>
      </c>
      <c r="E27" s="47" t="s">
        <v>159</v>
      </c>
      <c r="F27" s="48" t="s">
        <v>21</v>
      </c>
      <c r="G27" s="95">
        <v>102205119780602</v>
      </c>
      <c r="H27" s="50">
        <f t="shared" si="0"/>
        <v>45716</v>
      </c>
      <c r="I27" s="19">
        <f t="shared" si="1"/>
        <v>45744</v>
      </c>
      <c r="J27" s="51" t="s">
        <v>40</v>
      </c>
      <c r="K27" s="42" t="s">
        <v>160</v>
      </c>
      <c r="L27" s="53">
        <v>45775</v>
      </c>
      <c r="M27" s="54">
        <v>44714</v>
      </c>
      <c r="N27" s="54">
        <v>44740</v>
      </c>
      <c r="O27" s="97" t="s">
        <v>152</v>
      </c>
      <c r="P27" s="56">
        <v>11426377000123</v>
      </c>
      <c r="Q27" s="57"/>
      <c r="R27" s="58">
        <v>202200151434298</v>
      </c>
      <c r="S27" s="28">
        <v>46540</v>
      </c>
      <c r="T27" s="82" t="s">
        <v>161</v>
      </c>
      <c r="U27" t="s">
        <v>529</v>
      </c>
      <c r="V27" t="str">
        <f t="shared" si="2"/>
        <v>'26/12/2024 - Juntada efetuada' + CHAR(13) + CHAR(10) + 
'23/12/2024 - Docs recebidos' + CHAR(13) + CHAR(10) + 
'28/10/2024 - Cobrado procedimento a ser adotado' + CHAR(13) + CHAR(10) + 
'27/09/2024 - Juntada efetuada' + CHAR(13) + CHAR(10) + 
'27/09/2024 - Docs recebidos' + CHAR(13) + CHAR(10) + 
'09/09/2024 - Cobrado novamente' + CHAR(13) + CHAR(10) + 
'05/08/2024 - Cobrado procedimento a ser adotado' + CHAR(13) + CHAR(10) + 
'28/06/2024 - Juntada efetuada' + CHAR(13) + CHAR(10) + 
'27/06/2024 - Docs recebidos' + CHAR(13) + CHAR(10) + 
'14/06/2024 - Numerario enviado, ag retorno' + CHAR(13) + CHAR(10) + 
'13/06/2024 - Solicitado prorrogação por mais 3 meses' + CHAR(13) + CHAR(10) + 
'30/04/2024 - Cobrado procedimento a ser adotado' + CHAR(13) + CHAR(10) + 
'26/12/2023 - Juntada efetuada.' + CHAR(13) + CHAR(10) + 
'22/11/2023 - Informado que será prorrogado por mais 6 meses, Numerario e RPR enviados, ag retorno' + CHAR(13) + CHAR(10) + 
'30/10/2023 - Cobrado procedimento a ser adotado' + CHAR(13) + CHAR(10) + 
'28/06/2023 - Juntada efetuada através do DOSSIE' + CHAR(13) + CHAR(10) + 
'28/06/2023 - Recebido documentos' + CHAR(13) + CHAR(10) + 
'27/06/2023 - Cobrado retorno' + CHAR(13) + CHAR(10) + 
'01/06/2023 - Solicitado prorrogação por 6 meses, Numerario, TR e RAT enviados, aguardando retorno' + CHAR(13) + CHAR(10) + 
'26/04/2023 - Cobrado procedimento a ser adotado' + CHAR(13) + CHAR(10) + 
'28/07/2022 - Processo incluido no controle'</v>
      </c>
      <c r="W27" t="str">
        <v>WHEN 25 THEN
'26/12/2024 - Juntada efetuada' + CHAR(13) + CHAR(10) + 
'23/12/2024 - Docs recebidos' + CHAR(13) + CHAR(10) + 
'28/10/2024 - Cobrado procedimento a ser adotado' + CHAR(13) + CHAR(10) + 
'27/09/2024 - Juntada efetuada' + CHAR(13) + CHAR(10) + 
'27/09/2024 - Docs recebidos' + CHAR(13) + CHAR(10) + 
'09/09/2024 - Cobrado novamente' + CHAR(13) + CHAR(10) + 
'05/08/2024 - Cobrado procedimento a ser adotado' + CHAR(13) + CHAR(10) + 
'28/06/2024 - Juntada efetuada' + CHAR(13) + CHAR(10) + 
'27/06/2024 - Docs recebidos' + CHAR(13) + CHAR(10) + 
'14/06/2024 - Numerario enviado, ag retorno' + CHAR(13) + CHAR(10) + 
'13/06/2024 - Solicitado prorrogação por mais 3 meses' + CHAR(13) + CHAR(10) + 
'30/04/2024 - Cobrado procedimento a ser adotado' + CHAR(13) + CHAR(10) + 
'26/12/2023 - Juntada efetuada.' + CHAR(13) + CHAR(10) + 
'22/11/2023 - Informado que será prorrogado por mais 6 meses, Numerario e RPR enviados, ag retorno' + CHAR(13) + CHAR(10) + 
'30/10/2023 - Cobrado procedimento a ser adotado' + CHAR(13) + CHAR(10) + 
'28/06/2023 - Juntada efetuada através do DOSSIE' + CHAR(13) + CHAR(10) + 
'28/06/2023 - Recebido documentos' + CHAR(13) + CHAR(10) + 
'27/06/2023 - Cobrado retorno' + CHAR(13) + CHAR(10) + 
'01/06/2023 - Solicitado prorrogação por 6 meses, Numerario, TR e RAT enviados, aguardando retorno' + CHAR(13) + CHAR(10) + 
'26/04/2023 - Cobrado procedimento a ser adotado' + CHAR(13) + CHAR(10) + 
'28/07/2022 - Processo incluido no controle'</v>
      </c>
      <c r="X27" t="str">
        <v>WHEN 25 THEN
'GUINDASTE AUTOPROPELIDO SOBRE ESTEIRAS, MARCA KOBELCO, MODELO CK1100 , NÚMERO DE SERIE GH04-03371, ANO DE FABRICAÇÃO 2014 - USADO, NÚMERO DA FROTA 2611, COMPUTADORIZADO, ACIONADO POR MOTOR DIESEL, CAPACIDADE DE 110 TONELADAS, CONTRA-PESOS, COM TODOS ACESSÓRIOS PARA SEU FUNCIONAMENTO ATÉ 28 METROS DE LANÇA, DESMONTADO PARCIALMENTE PARA MANUSEIO E TRANSPORTE.'</v>
      </c>
    </row>
    <row r="28" spans="1:24" ht="53.25" customHeight="1" x14ac:dyDescent="0.25">
      <c r="A28" t="str">
        <f>B28&amp;" - "&amp;COUNTIF($B$3:B28,B28)</f>
        <v>MAMMOET - 20</v>
      </c>
      <c r="B28" s="93" t="s">
        <v>19</v>
      </c>
      <c r="C28" s="45">
        <v>2210475103</v>
      </c>
      <c r="D28" s="94" t="s">
        <v>162</v>
      </c>
      <c r="E28" s="47" t="s">
        <v>163</v>
      </c>
      <c r="F28" s="48" t="s">
        <v>21</v>
      </c>
      <c r="G28" s="95">
        <v>102205119780793</v>
      </c>
      <c r="H28" s="50">
        <f t="shared" si="0"/>
        <v>45716</v>
      </c>
      <c r="I28" s="19">
        <f t="shared" si="1"/>
        <v>45745</v>
      </c>
      <c r="J28" s="51" t="s">
        <v>40</v>
      </c>
      <c r="K28" s="96" t="s">
        <v>164</v>
      </c>
      <c r="L28" s="53">
        <v>45776</v>
      </c>
      <c r="M28" s="54">
        <v>44714</v>
      </c>
      <c r="N28" s="54">
        <v>44741</v>
      </c>
      <c r="O28" s="97" t="s">
        <v>152</v>
      </c>
      <c r="P28" s="56">
        <v>11426377000123</v>
      </c>
      <c r="Q28" s="57"/>
      <c r="R28" s="58">
        <v>202200151564345</v>
      </c>
      <c r="S28" s="98">
        <v>46540</v>
      </c>
      <c r="T28" s="82" t="s">
        <v>165</v>
      </c>
      <c r="U28" t="s">
        <v>529</v>
      </c>
      <c r="V28" t="str">
        <f t="shared" si="2"/>
        <v>'26/12/2024 - Juntada efetuada' + CHAR(13) + CHAR(10) + 
'23/12/2024 - Docs recebidos' + CHAR(13) + CHAR(10) + 
'08/11/2024 - Cobrado procedimento a ser adotado' + CHAR(13) + CHAR(10) + 
'28/09/2024 - Juntada efetuada' + CHAR(13) + CHAR(10) + 
'27/09/2024 - Docs recebidos' + CHAR(13) + CHAR(10) + 
'09/09/2024 - Cobrado novamente' + CHAR(13) + CHAR(10) + 
'05/08/2024 - Cobrado procedimento a ser adotado' + CHAR(13) + CHAR(10) + 
'28/06/2024 - Juntada efetuada' + CHAR(13) + CHAR(10) + 
'27/06/2024 - Docs recebidos' + CHAR(13) + CHAR(10) + 
'14/06/2024 - Numerario enviado, ag retorno' + CHAR(13) + CHAR(10) + 
'13/06/2024 - Solicitado prorrogação por mais 3 meses' + CHAR(13) + CHAR(10) + 
'30/04/2024 - Cobrado procedimento a ser adotado' + CHAR(13) + CHAR(10) + 
'28/12/2023 - Juntada efetuada' + CHAR(13) + CHAR(10) + 
'22/12/2023 - Recebido docs' + CHAR(13) + CHAR(10) + 
'30/11/2023 - Numerario e RPR enviados, ag retorno[' + CHAR(13) + CHAR(10) + 
'22/11/2023 - Solicitado prorrogaçção por mais 6 meses' + CHAR(13) + CHAR(10) + 
'30/10/2023 - Cobrado procedimento a ser adotado' + CHAR(13) + CHAR(10) + 
'03/07/2023 - Juntada efetuada através do DOSSIE, Apolice recebida em 30/06 a noite' + CHAR(13) + CHAR(10) + 
'28/06/2023 - Docs recebidos, exceto APOLICE. Anexado ao DOSSIE o que foi recebido' + CHAR(13) + CHAR(10) + 
'27/06/2023 - Cobrado retorno' + CHAR(13) + CHAR(10) + 
'01/06/2023 - Solicitado prorrogação por 6 meses, Numerario, TR e RAT enviados, aguardando retorno' + CHAR(13) + CHAR(10) + 
'26/04/2023 - Cobrado procedimento a ser adotado' + CHAR(13) + CHAR(10) + 
'28/07/2022 - Processo incluido no controle'</v>
      </c>
      <c r="W28" t="str">
        <v>WHEN 26 THEN
'26/12/2024 - Juntada efetuada' + CHAR(13) + CHAR(10) + 
'23/12/2024 - Docs recebidos' + CHAR(13) + CHAR(10) + 
'08/11/2024 - Cobrado procedimento a ser adotado' + CHAR(13) + CHAR(10) + 
'28/09/2024 - Juntada efetuada' + CHAR(13) + CHAR(10) + 
'27/09/2024 - Docs recebidos' + CHAR(13) + CHAR(10) + 
'09/09/2024 - Cobrado novamente' + CHAR(13) + CHAR(10) + 
'05/08/2024 - Cobrado procedimento a ser adotado' + CHAR(13) + CHAR(10) + 
'28/06/2024 - Juntada efetuada' + CHAR(13) + CHAR(10) + 
'27/06/2024 - Docs recebidos' + CHAR(13) + CHAR(10) + 
'14/06/2024 - Numerario enviado, ag retorno' + CHAR(13) + CHAR(10) + 
'13/06/2024 - Solicitado prorrogação por mais 3 meses' + CHAR(13) + CHAR(10) + 
'30/04/2024 - Cobrado procedimento a ser adotado' + CHAR(13) + CHAR(10) + 
'28/12/2023 - Juntada efetuada' + CHAR(13) + CHAR(10) + 
'22/12/2023 - Recebido docs' + CHAR(13) + CHAR(10) + 
'30/11/2023 - Numerario e RPR enviados, ag retorno[' + CHAR(13) + CHAR(10) + 
'22/11/2023 - Solicitado prorrogaçção por mais 6 meses' + CHAR(13) + CHAR(10) + 
'30/10/2023 - Cobrado procedimento a ser adotado' + CHAR(13) + CHAR(10) + 
'03/07/2023 - Juntada efetuada através do DOSSIE, Apolice recebida em 30/06 a noite' + CHAR(13) + CHAR(10) + 
'28/06/2023 - Docs recebidos, exceto APOLICE. Anexado ao DOSSIE o que foi recebido' + CHAR(13) + CHAR(10) + 
'27/06/2023 - Cobrado retorno' + CHAR(13) + CHAR(10) + 
'01/06/2023 - Solicitado prorrogação por 6 meses, Numerario, TR e RAT enviados, aguardando retorno' + CHAR(13) + CHAR(10) + 
'26/04/2023 - Cobrado procedimento a ser adotado' + CHAR(13) + CHAR(10) + 
'28/07/2022 - Processo incluido no controle'</v>
      </c>
      <c r="X28" t="str">
        <v>WHEN 26 THEN
'CAMINHÃO GUINDASTE SOBRE PNEU COM LANÇA TELESCÓPICA ATÉ 50 METROS, CAPACIDADE MÁXIMA DE ELEVAÇÃO 90 TONELADAS, COM 2 EIXOS TOTAIS SENDO 2 EIXOS DIRECIONÁVEIS, PRONTO PARA MANUSEIO E OPERAÇÃO. MARCA GROVE, MODELO RT890E, USADO, ANO DE FABRICAÇÃO 2012, NUMERO DE SÉRIE 232649, FROTA 2144.'</v>
      </c>
    </row>
    <row r="29" spans="1:24" ht="53.25" customHeight="1" x14ac:dyDescent="0.25">
      <c r="A29" t="str">
        <f>B29&amp;" - "&amp;COUNTIF($B$3:B29,B29)</f>
        <v>MARLIM AZUL - 1</v>
      </c>
      <c r="B29" s="44" t="s">
        <v>166</v>
      </c>
      <c r="C29" s="45">
        <v>240006359556</v>
      </c>
      <c r="D29" s="46" t="s">
        <v>167</v>
      </c>
      <c r="E29" s="47"/>
      <c r="F29" s="48"/>
      <c r="G29" s="49"/>
      <c r="H29" s="50">
        <f t="shared" si="0"/>
        <v>45717</v>
      </c>
      <c r="I29" s="19">
        <f t="shared" si="1"/>
        <v>45748</v>
      </c>
      <c r="J29" s="51" t="s">
        <v>168</v>
      </c>
      <c r="K29" s="52" t="s">
        <v>87</v>
      </c>
      <c r="L29" s="53">
        <v>45778</v>
      </c>
      <c r="M29" s="54">
        <v>45399</v>
      </c>
      <c r="N29" s="55">
        <v>45413</v>
      </c>
      <c r="O29" s="24" t="s">
        <v>65</v>
      </c>
      <c r="P29" s="56">
        <v>29884534000290</v>
      </c>
      <c r="Q29" s="57"/>
      <c r="R29" s="58">
        <v>202400233843302</v>
      </c>
      <c r="S29" s="58"/>
      <c r="T29" s="59" t="s">
        <v>169</v>
      </c>
      <c r="U29" t="s">
        <v>531</v>
      </c>
      <c r="V29" t="str">
        <f t="shared" si="2"/>
        <v>'15/05/2024 - Processo incluído no controle'</v>
      </c>
      <c r="W29" t="str">
        <v>WHEN 27 THEN
'15/05/2024 - Processo incluído no controle'</v>
      </c>
      <c r="X29" t="str">
        <v>WHEN 27 THEN
'DIVERSOS EQUIPAMENTOS CONFORME DUE'</v>
      </c>
    </row>
    <row r="30" spans="1:24" ht="53.25" customHeight="1" x14ac:dyDescent="0.25">
      <c r="A30" t="str">
        <f>B30&amp;" - "&amp;COUNTIF($B$3:B30,B30)</f>
        <v>MAMMOET - 21</v>
      </c>
      <c r="B30" s="47" t="s">
        <v>19</v>
      </c>
      <c r="C30" s="45">
        <v>2104031884</v>
      </c>
      <c r="D30" s="46" t="s">
        <v>170</v>
      </c>
      <c r="E30" s="44" t="s">
        <v>171</v>
      </c>
      <c r="F30" s="48"/>
      <c r="G30" s="49"/>
      <c r="H30" s="50">
        <f t="shared" si="0"/>
        <v>45720</v>
      </c>
      <c r="I30" s="19">
        <f t="shared" si="1"/>
        <v>45751</v>
      </c>
      <c r="J30" s="51" t="s">
        <v>172</v>
      </c>
      <c r="K30" s="65" t="s">
        <v>173</v>
      </c>
      <c r="L30" s="53">
        <v>45781</v>
      </c>
      <c r="M30" s="54">
        <v>44256</v>
      </c>
      <c r="N30" s="55">
        <v>44263</v>
      </c>
      <c r="O30" s="24" t="s">
        <v>174</v>
      </c>
      <c r="P30" s="56">
        <v>11426377000123</v>
      </c>
      <c r="Q30" s="57" t="s">
        <v>175</v>
      </c>
      <c r="R30" s="58">
        <v>202100101144776</v>
      </c>
      <c r="S30" s="98"/>
      <c r="T30" s="60" t="s">
        <v>176</v>
      </c>
      <c r="U30" t="s">
        <v>531</v>
      </c>
      <c r="V30" t="str">
        <f t="shared" si="2"/>
        <v>'10/12/2024 - Despacho' + CHAR(13) + CHAR(10) + 
'04/12/2024 - Juntada efetuda' + CHAR(13) + CHAR(10) + 
'25/11/2024 - Solicitado prorrogaçao por mais 6 meses, ag retorno' + CHAR(13) + CHAR(10) + 
'18/11/2024 - Despacho' + CHAR(13) + CHAR(10) + 
'13/11/2024 - Intimaçao' + CHAR(13) + CHAR(10) + 
'06/11/2024 - Cobrado procedimento a ser adotado' + CHAR(13) + CHAR(10) + 
'01/11/2024 - Juntada efetuada' + CHAR(13) + CHAR(10) + 
'30/10/2024 - Docs recebidos' + CHAR(13) + CHAR(10) + 
'18/10/2024 - Numerario enviado, ag retorno' + CHAR(13) + CHAR(10) + 
'17/10/2024 - Solicitado renovaçao por mais 1 mes' + CHAR(13) + CHAR(10) + 
'14/10/2024 - Cobrado novamente' + CHAR(13) + CHAR(10) + 
'09/09/2024 - Cobrado procedimento a ser adotado' + CHAR(13) + CHAR(10) + 
'04/07/2024 - Juntada efetuada' + CHAR(13) + CHAR(10) + 
'02/07/2024 - Docs recebidos' + CHAR(13) + CHAR(10) + 
'25/06/2024 - Solicitado prorrogaçao por mais 4 meses, numerario enviado, ag retorno' + CHAR(13) + CHAR(10) + 
'10/06/2024 - Cobrado procedimento' + CHAR(13) + CHAR(10) + 
'05/06/2024 - Juntada efetuada' + CHAR(13) + CHAR(10) + 
'29/05/2024 - Docs recebidos' + CHAR(13) + CHAR(10) + 
'24/05/2024 - Enviado Numerario e RPR, ag retorno' + CHAR(13) + CHAR(10) + 
'21/05/2024 - Solicitadoprorrogação por mais 1 mes' + CHAR(13) + CHAR(10) + 
'08/05/2024 - Cobrado novamente' + CHAR(13) + CHAR(10) + 
'05/04/2024 - Cobrado procedimento a ser adotado' + CHAR(13) + CHAR(10) + 
'04/01/2024 - Juntada efetuada' + CHAR(13) + CHAR(10) + 
'03/01/2024 - Docs recebidos' + CHAR(13) + CHAR(10) + 
'08/11/2023 - Cobrado procedimento a ser adotado' + CHAR(13) + CHAR(10) + 
'14/07/2023 - Despacho decisorio' + CHAR(13) + CHAR(10) + 
'03/07/2023 - Juntada efetuada através do DOSSIÊ' + CHAR(13) + CHAR(10) + 
'28/06/2023 - Docs recebidos' + CHAR(13) + CHAR(10) + 
'20/06/2023 - Numerario e TR enviado, ag retorno' + CHAR(13) + CHAR(10) + 
'19/06/2023 - Informado que será prorrogado por 6 meses' + CHAR(13) + CHAR(10) + 
'09/05/2023 - Cobrado procedimento a ser adotado' + CHAR(13) + CHAR(10) + 
'21/03/2023 - Despacho Decisorio' + CHAR(13) + CHAR(10) + 
'01/03/2023 - Juntada efetuada atravé do DOSSIE' + CHAR(13) + CHAR(10) + 
'28/02/2023 - Cobrado retorno, recebido documentação' + CHAR(13) + CHAR(10) + 
'08/02/2023 - Solicitado prorrogação, enviado numerário, aguardando retorno' + CHAR(13) + CHAR(10) + 
'10/01/2023 - Cobrado procedimento a ser adotado' + CHAR(13) + CHAR(10) + 
'22/03/2022 - Despacho Decisorio' + CHAR(13) + CHAR(10) + 
'16/02/2022 - Juntada anexada através do DOSSIE' + CHAR(13) + CHAR(10) + 
'08/02/2022 - Solicitado prorrogação por 12 meses, solicitação de numerário enviada, ag retorno' + CHAR(13) + CHAR(10) + 
'05/01/2022 - Cobrado procedimento a ser adotado' + CHAR(13) + CHAR(10) + 
'14/09/2021 - Despacho Decisorio' + CHAR(13) + CHAR(10) + 
'30/08/2021 - Docs recebidos, docs anexados ao DOSSIE' + CHAR(13) + CHAR(10) + 
'06/08/2021 - Solicitado renovação por 6 meses, enviado numerário, ag docs' + CHAR(13) + CHAR(10) + 
'13/07/2021 Cobrado procedimento a ser adotado' + CHAR(13) + CHAR(10) + 
'11/05/2021 - Processo incluído no controle'</v>
      </c>
      <c r="W30" t="str">
        <v>WHEN 28 THEN
'10/12/2024 - Despacho' + CHAR(13) + CHAR(10) + 
'04/12/2024 - Juntada efetuda' + CHAR(13) + CHAR(10) + 
'25/11/2024 - Solicitado prorrogaçao por mais 6 meses, ag retorno' + CHAR(13) + CHAR(10) + 
'18/11/2024 - Despacho' + CHAR(13) + CHAR(10) + 
'13/11/2024 - Intimaçao' + CHAR(13) + CHAR(10) + 
'06/11/2024 - Cobrado procedimento a ser adotado' + CHAR(13) + CHAR(10) + 
'01/11/2024 - Juntada efetuada' + CHAR(13) + CHAR(10) + 
'30/10/2024 - Docs recebidos' + CHAR(13) + CHAR(10) + 
'18/10/2024 - Numerario enviado, ag retorno' + CHAR(13) + CHAR(10) + 
'17/10/2024 - Solicitado renovaçao por mais 1 mes' + CHAR(13) + CHAR(10) + 
'14/10/2024 - Cobrado novamente' + CHAR(13) + CHAR(10) + 
'09/09/2024 - Cobrado procedimento a ser adotado' + CHAR(13) + CHAR(10) + 
'04/07/2024 - Juntada efetuada' + CHAR(13) + CHAR(10) + 
'02/07/2024 - Docs recebidos' + CHAR(13) + CHAR(10) + 
'25/06/2024 - Solicitado prorrogaçao por mais 4 meses, numerario enviado, ag retorno' + CHAR(13) + CHAR(10) + 
'10/06/2024 - Cobrado procedimento' + CHAR(13) + CHAR(10) + 
'05/06/2024 - Juntada efetuada' + CHAR(13) + CHAR(10) + 
'29/05/2024 - Docs recebidos' + CHAR(13) + CHAR(10) + 
'24/05/2024 - Enviado Numerario e RPR, ag retorno' + CHAR(13) + CHAR(10) + 
'21/05/2024 - Solicitadoprorrogação por mais 1 mes' + CHAR(13) + CHAR(10) + 
'08/05/2024 - Cobrado novamente' + CHAR(13) + CHAR(10) + 
'05/04/2024 - Cobrado procedimento a ser adotado' + CHAR(13) + CHAR(10) + 
'04/01/2024 - Juntada efetuada' + CHAR(13) + CHAR(10) + 
'03/01/2024 - Docs recebidos' + CHAR(13) + CHAR(10) + 
'08/11/2023 - Cobrado procedimento a ser adotado' + CHAR(13) + CHAR(10) + 
'14/07/2023 - Despacho decisorio' + CHAR(13) + CHAR(10) + 
'03/07/2023 - Juntada efetuada através do DOSSIÊ' + CHAR(13) + CHAR(10) + 
'28/06/2023 - Docs recebidos' + CHAR(13) + CHAR(10) + 
'20/06/2023 - Numerario e TR enviado, ag retorno' + CHAR(13) + CHAR(10) + 
'19/06/2023 - Informado que será prorrogado por 6 meses' + CHAR(13) + CHAR(10) + 
'09/05/2023 - Cobrado procedimento a ser adotado' + CHAR(13) + CHAR(10) + 
'21/03/2023 - Despacho Decisorio' + CHAR(13) + CHAR(10) + 
'01/03/2023 - Juntada efetuada atravé do DOSSIE' + CHAR(13) + CHAR(10) + 
'28/02/2023 - Cobrado retorno, recebido documentação' + CHAR(13) + CHAR(10) + 
'08/02/2023 - Solicitado prorrogação, enviado numerário, aguardando retorno' + CHAR(13) + CHAR(10) + 
'10/01/2023 - Cobrado procedimento a ser adotado' + CHAR(13) + CHAR(10) + 
'22/03/2022 - Despacho Decisorio' + CHAR(13) + CHAR(10) + 
'16/02/2022 - Juntada anexada através do DOSSIE' + CHAR(13) + CHAR(10) + 
'08/02/2022 - Solicitado prorrogação por 12 meses, solicitação de numerário enviada, ag retorno' + CHAR(13) + CHAR(10) + 
'05/01/2022 - Cobrado procedimento a ser adotado' + CHAR(13) + CHAR(10) + 
'14/09/2021 - Despacho Decisorio' + CHAR(13) + CHAR(10) + 
'30/08/2021 - Docs recebidos, docs anexados ao DOSSIE' + CHAR(13) + CHAR(10) + 
'06/08/2021 - Solicitado renovação por 6 meses, enviado numerário, ag docs' + CHAR(13) + CHAR(10) + 
'13/07/2021 Cobrado procedimento a ser adotado' + CHAR(13) + CHAR(10) + 
'11/05/2021 - Processo incluído no controle'</v>
      </c>
      <c r="X30" t="str">
        <v>WHEN 28 THEN
'CONJUNTO TENSOR PARA LANÇA DE 108 METROS, TIPO SSL/LSL, MARCA TEREX, SEM NUMERO DE SERIE , ANO DE FABRICAÇÃO 2008'</v>
      </c>
    </row>
    <row r="31" spans="1:24" ht="53.25" customHeight="1" x14ac:dyDescent="0.25">
      <c r="A31" t="str">
        <f>B31&amp;" - "&amp;COUNTIF($B$3:B31,B31)</f>
        <v>MAMMOET - 22</v>
      </c>
      <c r="B31" s="44" t="s">
        <v>19</v>
      </c>
      <c r="C31" s="83">
        <v>1908940648</v>
      </c>
      <c r="D31" s="94" t="s">
        <v>177</v>
      </c>
      <c r="E31" s="85" t="s">
        <v>178</v>
      </c>
      <c r="F31" s="86"/>
      <c r="G31" s="99"/>
      <c r="H31" s="50">
        <f t="shared" si="0"/>
        <v>45722</v>
      </c>
      <c r="I31" s="19">
        <f t="shared" si="1"/>
        <v>45753</v>
      </c>
      <c r="J31" s="51" t="s">
        <v>22</v>
      </c>
      <c r="K31" s="65" t="s">
        <v>179</v>
      </c>
      <c r="L31" s="53">
        <v>45783</v>
      </c>
      <c r="M31" s="89">
        <v>43605</v>
      </c>
      <c r="N31" s="89">
        <v>43622</v>
      </c>
      <c r="O31" s="100" t="s">
        <v>180</v>
      </c>
      <c r="P31" s="56">
        <v>11426377000123</v>
      </c>
      <c r="Q31" s="57" t="s">
        <v>181</v>
      </c>
      <c r="R31" s="58">
        <v>201900042372208</v>
      </c>
      <c r="S31" s="98"/>
      <c r="T31" s="60" t="s">
        <v>182</v>
      </c>
      <c r="U31" t="s">
        <v>531</v>
      </c>
      <c r="V31" t="str">
        <f t="shared" si="2"/>
        <v>'10/12/2024 - Despacho' + CHAR(13) + CHAR(10) + 
'04/12/2024 - Juntada efetuada' + CHAR(13) + CHAR(10) + 
'25/11/2024 - Numerario enviado, ag retorno' + CHAR(13) + CHAR(10) + 
'22/11/2024 - Cobrado renovaçao por mais 6 meses' + CHAR(13) + CHAR(10) + 
'18/11/2024 - Despacho' + CHAR(13) + CHAR(10) + 
'14/11/2024 - Intimaçao' + CHAR(13) + CHAR(10) + 
'06/11/2024 - Initmaçao' + CHAR(13) + CHAR(10) + 
'06/11/2024 - Juntada efetuada' + CHAR(13) + CHAR(10) + 
'30/10/2024 - Docs recebidos' + CHAR(13) + CHAR(10) + 
'18/10/2024 - Numerario enviado, ag retorno' + CHAR(13) + CHAR(10) + 
'17/10/2024 - Solciitado prorrogaçao por mais 1 mes' + CHAR(13) + CHAR(10) + 
'14/10/2024 - Cobrado novamente' + CHAR(13) + CHAR(10) + 
'09/09/2024 - Cobrado procedimento a ser adotado' + CHAR(13) + CHAR(10) + 
'08/07/2024 - Despacho decisorio' + CHAR(13) + CHAR(10) + 
'05/07/2024 - Juntada efetuada' + CHAR(13) + CHAR(10) + 
'02/07/2024 - Docs recebidos' + CHAR(13) + CHAR(10) + 
'25/06/2024 - Solicitado prorrogação por mais 4 meses, numerario enviado, ag retorno' + CHAR(13) + CHAR(10) + 
'08/05/2024 - Cobrado procedimento a ser adotado' + CHAR(13) + CHAR(10) + 
'05/02/2024 - Juntada efetuada, despacho decisorio' + CHAR(13) + CHAR(10) + 
'30/01/2024 - Docs recebidos' + CHAR(13) + CHAR(10) + 
'19/01/2024 - RPR e Numerario enviados, ag retorno' + CHAR(13) + CHAR(10) + 
'17/01/2024 - Solicitado prorrogação por mais 5 meses' + CHAR(13) + CHAR(10) + 
'15/01/2024 - Cobrado novamente' + CHAR(13) + CHAR(10) + 
'01/12/2023 - Cobrado procedimento a ser adotado' + CHAR(13) + CHAR(10) + 
'18/08/2023 - Despacho Decisorio' + CHAR(13) + CHAR(10) + 
'03/08/2023 - Juntada efetuada' + CHAR(13) + CHAR(10) + 
'26/07/2023 - Recebido docs' + CHAR(13) + CHAR(10) + 
'10/07/2023 - Enviado numerario, ag retorno' + CHAR(13) + CHAR(10) + 
'04/07/2023 - Informado que será prorrogado por 6 meses' + CHAR(13) + CHAR(10) + 
'15/06/2023 - Cobrado procedimento a ser adotado' + CHAR(13) + CHAR(10) + 
'17/02/2023 - Intimação respondida, Despacho Decisorio' + CHAR(13) + CHAR(10) + 
'10/02/2023 - Intimação' + CHAR(13) + CHAR(10) + 
'31/01/2023 - Juntada efetuada no ECAC e DOSSIE' + CHAR(13) + CHAR(10) + 
'19/01/2023 - Docs recebidos' + CHAR(13) + CHAR(10) + 
'02/01/2022 - Informado que será renovado por 6 meses, Numerário enviado, aguardando retorno' + CHAR(13) + CHAR(10) + 
'07/12/2022 - Cobrado procedimento a ser adotado' + CHAR(13) + CHAR(10) + 
'09/02/2022 - Despacho Decisorio' + CHAR(13) + CHAR(10) + 
'03/02/2022 - Juntada efetuada pelo E-CAC e DOSSIE' + CHAR(13) + CHAR(10) + 
'01/02/2022 - Recebido documentação' + CHAR(13) + CHAR(10) + 
'19/01/2022 - Cobrado procedimento a ser adotado, solicitado prorrogação por 12 meses, numerário enviado, aguardando retorno' + CHAR(13) + CHAR(10) + 
'16/08/2021 - Despacho Decisorio' + CHAR(13) + CHAR(10) + 
'05/08/2021 -Docs recebidos, Juntada efetuada pelo E-CAC e DOSSIE' + CHAR(13) + CHAR(10) + 
'15/07/2021 - Solicitado prorrogação por 6 meses, solicitação de Numerario enviado, aguardando retorno' + CHAR(13) + CHAR(10) + 
'07/06/2021 - Cobrado procedimento a ser adotado' + CHAR(13) + CHAR(10) + 
'08/02/2021 - Despacho Decisorio' + CHAR(13) + CHAR(10) + 
'03/02/2021 - Docs recebidos, juntada efetuada pelo E-CAC' + CHAR(13) + CHAR(10) + 
'01/02/2021 - Cobrado docs' + CHAR(13) + CHAR(10) + 
'30/12/2020 - Solicitado prorrogação por 6 meses, Numerario enviado' + CHAR(13) + CHAR(10) + 
'07/12/2020 - Cobrado procedimento' + CHAR(13) + CHAR(10) + 
'10/09/2020 - Despacho Decisorio' + CHAR(13) + CHAR(10) + 
'03/09/2020 - Juntada enviada pelo E-CAC' + CHAR(13) + CHAR(10) + 
'31/08/2020 - Cobrado documentos' + CHAR(13) + CHAR(10) + 
'12/08/2020 - Solicitado prorrogação de 5 meses, TR e Numerário enviados, aguardando Transferencia e documentos.' + CHAR(13) + CHAR(10) + 
'08/07/2020 - Cobrado qual procedimento deverá ser adotado' + CHAR(13) + CHAR(10) + 
'09/06/2020 - Depacho Decisorio' + CHAR(13) + CHAR(10) + 
'04/06/2020 - Protocolo da Juntada Enviada' + CHAR(13) + CHAR(10) + 
'01/06/2020 - Cobrado novamente' + CHAR(13) + CHAR(10) + 
'28/05/2020 - TR e Numerario enviados, aguardando documentação' + CHAR(13) + CHAR(10) + 
'27/05/2020 - Cobrado novamente, informado que será prorrogado por mais 3 meses' + CHAR(13) + CHAR(10) + 
'06/04/2020 - Cobrado procedimento a ser adotado' + CHAR(13) + CHAR(10) + 
'09/12/2019 - Despacho decisório' + CHAR(13) + CHAR(10) + 
'29/11/2019 - Juntada enviada no e-CAC. ' + CHAR(13) + CHAR(10) + 
'25/11/2019 - Cobrado docutamação para inicio da prorrogação.' + CHAR(13) + CHAR(10) + 
'14/11/2019 - Cobrado qual procedimento será adotado.' + CHAR(13) + CHAR(10) + 
'31/10/2019 - Enviado o numerário e aguardando documentação para inicio da prorrogação.' + CHAR(13) + CHAR(10) + 
'29/10/2019 - Recebido a informação que será prorrogado por 6 meses.' + CHAR(13) + CHAR(10) + 
'19/07/2019 - Processo Incluso no controle'</v>
      </c>
      <c r="W31" t="str">
        <v>WHEN 29 THEN
'10/12/2024 - Despacho' + CHAR(13) + CHAR(10) + 
'04/12/2024 - Juntada efetuada' + CHAR(13) + CHAR(10) + 
'25/11/2024 - Numerario enviado, ag retorno' + CHAR(13) + CHAR(10) + 
'22/11/2024 - Cobrado renovaçao por mais 6 meses' + CHAR(13) + CHAR(10) + 
'18/11/2024 - Despacho' + CHAR(13) + CHAR(10) + 
'14/11/2024 - Intimaçao' + CHAR(13) + CHAR(10) + 
'06/11/2024 - Initmaçao' + CHAR(13) + CHAR(10) + 
'06/11/2024 - Juntada efetuada' + CHAR(13) + CHAR(10) + 
'30/10/2024 - Docs recebidos' + CHAR(13) + CHAR(10) + 
'18/10/2024 - Numerario enviado, ag retorno' + CHAR(13) + CHAR(10) + 
'17/10/2024 - Solciitado prorrogaçao por mais 1 mes' + CHAR(13) + CHAR(10) + 
'14/10/2024 - Cobrado novamente' + CHAR(13) + CHAR(10) + 
'09/09/2024 - Cobrado procedimento a ser adotado' + CHAR(13) + CHAR(10) + 
'08/07/2024 - Despacho decisorio' + CHAR(13) + CHAR(10) + 
'05/07/2024 - Juntada efetuada' + CHAR(13) + CHAR(10) + 
'02/07/2024 - Docs recebidos' + CHAR(13) + CHAR(10) + 
'25/06/2024 - Solicitado prorrogação por mais 4 meses, numerario enviado, ag retorno' + CHAR(13) + CHAR(10) + 
'08/05/2024 - Cobrado procedimento a ser adotado' + CHAR(13) + CHAR(10) + 
'05/02/2024 - Juntada efetuada, despacho decisorio' + CHAR(13) + CHAR(10) + 
'30/01/2024 - Docs recebidos' + CHAR(13) + CHAR(10) + 
'19/01/2024 - RPR e Numerario enviados, ag retorno' + CHAR(13) + CHAR(10) + 
'17/01/2024 - Solicitado prorrogação por mais 5 meses' + CHAR(13) + CHAR(10) + 
'15/01/2024 - Cobrado novamente' + CHAR(13) + CHAR(10) + 
'01/12/2023 - Cobrado procedimento a ser adotado' + CHAR(13) + CHAR(10) + 
'18/08/2023 - Despacho Decisorio' + CHAR(13) + CHAR(10) + 
'03/08/2023 - Juntada efetuada' + CHAR(13) + CHAR(10) + 
'26/07/2023 - Recebido docs' + CHAR(13) + CHAR(10) + 
'10/07/2023 - Enviado numerario, ag retorno' + CHAR(13) + CHAR(10) + 
'04/07/2023 - Informado que será prorrogado por 6 meses' + CHAR(13) + CHAR(10) + 
'15/06/2023 - Cobrado procedimento a ser adotado' + CHAR(13) + CHAR(10) + 
'17/02/2023 - Intimação respondida, Despacho Decisorio' + CHAR(13) + CHAR(10) + 
'10/02/2023 - Intimação' + CHAR(13) + CHAR(10) + 
'31/01/2023 - Juntada efetuada no ECAC e DOSSIE' + CHAR(13) + CHAR(10) + 
'19/01/2023 - Docs recebidos' + CHAR(13) + CHAR(10) + 
'02/01/2022 - Informado que será renovado por 6 meses, Numerário enviado, aguardando retorno' + CHAR(13) + CHAR(10) + 
'07/12/2022 - Cobrado procedimento a ser adotado' + CHAR(13) + CHAR(10) + 
'09/02/2022 - Despacho Decisorio' + CHAR(13) + CHAR(10) + 
'03/02/2022 - Juntada efetuada pelo E-CAC e DOSSIE' + CHAR(13) + CHAR(10) + 
'01/02/2022 - Recebido documentação' + CHAR(13) + CHAR(10) + 
'19/01/2022 - Cobrado procedimento a ser adotado, solicitado prorrogação por 12 meses, numerário enviado, aguardando retorno' + CHAR(13) + CHAR(10) + 
'16/08/2021 - Despacho Decisorio' + CHAR(13) + CHAR(10) + 
'05/08/2021 -Docs recebidos, Juntada efetuada pelo E-CAC e DOSSIE' + CHAR(13) + CHAR(10) + 
'15/07/2021 - Solicitado prorrogação por 6 meses, solicitação de Numerario enviado, aguardando retorno' + CHAR(13) + CHAR(10) + 
'07/06/2021 - Cobrado procedimento a ser adotado' + CHAR(13) + CHAR(10) + 
'08/02/2021 - Despacho Decisorio' + CHAR(13) + CHAR(10) + 
'03/02/2021 - Docs recebidos, juntada efetuada pelo E-CAC' + CHAR(13) + CHAR(10) + 
'01/02/2021 - Cobrado docs' + CHAR(13) + CHAR(10) + 
'30/12/2020 - Solicitado prorrogação por 6 meses, Numerario enviado' + CHAR(13) + CHAR(10) + 
'07/12/2020 - Cobrado procedimento' + CHAR(13) + CHAR(10) + 
'10/09/2020 - Despacho Decisorio' + CHAR(13) + CHAR(10) + 
'03/09/2020 - Juntada enviada pelo E-CAC' + CHAR(13) + CHAR(10) + 
'31/08/2020 - Cobrado documentos' + CHAR(13) + CHAR(10) + 
'12/08/2020 - Solicitado prorrogação de 5 meses, TR e Numerário enviados, aguardando Transferencia e documentos.' + CHAR(13) + CHAR(10) + 
'08/07/2020 - Cobrado qual procedimento deverá ser adotado' + CHAR(13) + CHAR(10) + 
'09/06/2020 - Depacho Decisorio' + CHAR(13) + CHAR(10) + 
'04/06/2020 - Protocolo da Juntada Enviada' + CHAR(13) + CHAR(10) + 
'01/06/2020 - Cobrado novamente' + CHAR(13) + CHAR(10) + 
'28/05/2020 - TR e Numerario enviados, aguardando documentação' + CHAR(13) + CHAR(10) + 
'27/05/2020 - Cobrado novamente, informado que será prorrogado por mais 3 meses' + CHAR(13) + CHAR(10) + 
'06/04/2020 - Cobrado procedimento a ser adotado' + CHAR(13) + CHAR(10) + 
'09/12/2019 - Despacho decisório' + CHAR(13) + CHAR(10) + 
'29/11/2019 - Juntada enviada no e-CAC. ' + CHAR(13) + CHAR(10) + 
'25/11/2019 - Cobrado docutamação para inicio da prorrogação.' + CHAR(13) + CHAR(10) + 
'14/11/2019 - Cobrado qual procedimento será adotado.' + CHAR(13) + CHAR(10) + 
'31/10/2019 - Enviado o numerário e aguardando documentação para inicio da prorrogação.' + CHAR(13) + CHAR(10) + 
'29/10/2019 - Recebido a informação que será prorrogado por 6 meses.' + CHAR(13) + CHAR(10) + 
'19/07/2019 - Processo Incluso no controle'</v>
      </c>
      <c r="X31" t="str">
        <v>WHEN 29 THEN
'PARTE DO GUINDASTE TEREX DEMAG - ANO DE FABRICAÇÃO 2018, SEM NUMERO DE SERIE'</v>
      </c>
    </row>
    <row r="32" spans="1:24" ht="53.25" customHeight="1" x14ac:dyDescent="0.25">
      <c r="A32" t="str">
        <f>B32&amp;" - "&amp;COUNTIF($B$3:B32,B32)</f>
        <v>VEOLIA - 1</v>
      </c>
      <c r="B32" s="30" t="s">
        <v>183</v>
      </c>
      <c r="C32" s="31">
        <v>2410910580</v>
      </c>
      <c r="D32" s="32" t="s">
        <v>184</v>
      </c>
      <c r="E32" s="13" t="s">
        <v>185</v>
      </c>
      <c r="F32" s="33"/>
      <c r="G32" s="34"/>
      <c r="H32" s="18">
        <f t="shared" si="0"/>
        <v>45729</v>
      </c>
      <c r="I32" s="63">
        <f t="shared" si="1"/>
        <v>45760</v>
      </c>
      <c r="J32" s="20" t="s">
        <v>186</v>
      </c>
      <c r="K32" s="52" t="s">
        <v>187</v>
      </c>
      <c r="L32" s="36">
        <v>45790</v>
      </c>
      <c r="M32" s="37">
        <v>45435</v>
      </c>
      <c r="N32" s="23">
        <v>45435</v>
      </c>
      <c r="O32" s="101" t="s">
        <v>65</v>
      </c>
      <c r="P32" s="38">
        <v>47098918000693</v>
      </c>
      <c r="Q32" s="26"/>
      <c r="R32" s="27">
        <v>202400238478718</v>
      </c>
      <c r="S32" s="27"/>
      <c r="T32" s="21" t="s">
        <v>188</v>
      </c>
      <c r="U32" t="s">
        <v>531</v>
      </c>
      <c r="V32" t="str">
        <f t="shared" si="2"/>
        <v>'23/05/2024 - Processo incluído no controle'</v>
      </c>
      <c r="W32" t="str">
        <v>WHEN 30 THEN
'23/05/2024 - Processo incluído no controle'</v>
      </c>
      <c r="X32" t="str">
        <v>WHEN 30 THEN
'UNIDADE MÓVEL DE PRODUÇÃO DE ÁGUA POTÁVEL, AUTÓNOMA E DE GRANDE CAPACIDADE (15 M3/H), ADAPTADO AO CONTEXTO DE EMERGÊNCIA HUMANITÁRIA PARA DISTRIBUIÇÃO DIRETA ÀS PESSOAS AFETADAS POPULAÇÃO E/OU EM CAMPOS DE REFUGIADOS, EQUIPADO COM MEMBRANAS DE ULTRAFILTRAÇÃO COM LIMITE DE CORTE DE 0,04 ΜM, ELIMINA TODOS OS COLÓIDES E BACTÉRIAS, ASSIM COMO A MAIORIA DOS VÍRUS POTENCIALMENTE PRESENTES NA ÁGUA BRUTA, PROCEDIMENTO É COMPLETADO POR UM TRATAMENTO DE CARVÃO ATIVADO GRANULAR PARA TRATAR COR, ODOR E ALGUMA POLUIÇÃO COMPLEXA E COMPLETADO PELA INJEÇÃO DE CLORO PARA FINALIZAR A DESINFECÇÃO E GARANTIR A PERSISTÊNCIA NA ÁGUA DISTRIBUÍDA. MARCA: VEOLIA MODELO: AF7500UF SÉRIE: FV/UF/7500/1 ANO DE FABRICAÇÃO: 2019 USADO.'</v>
      </c>
    </row>
    <row r="33" spans="1:24" ht="53.25" customHeight="1" x14ac:dyDescent="0.25">
      <c r="A33" t="str">
        <f>B33&amp;" - "&amp;COUNTIF($B$3:B33,B33)</f>
        <v>MAMMOET - 23</v>
      </c>
      <c r="B33" s="30" t="s">
        <v>19</v>
      </c>
      <c r="C33" s="31">
        <v>230002563884</v>
      </c>
      <c r="D33" s="32" t="s">
        <v>189</v>
      </c>
      <c r="E33" s="13" t="s">
        <v>190</v>
      </c>
      <c r="F33" s="33"/>
      <c r="G33" s="34"/>
      <c r="H33" s="66">
        <f t="shared" si="0"/>
        <v>45737</v>
      </c>
      <c r="I33" s="63">
        <f t="shared" si="1"/>
        <v>45768</v>
      </c>
      <c r="J33" s="20" t="s">
        <v>191</v>
      </c>
      <c r="K33" s="67" t="s">
        <v>192</v>
      </c>
      <c r="L33" s="22">
        <v>45798</v>
      </c>
      <c r="M33" s="37">
        <v>44973</v>
      </c>
      <c r="N33" s="23">
        <v>44979</v>
      </c>
      <c r="O33" s="102" t="s">
        <v>93</v>
      </c>
      <c r="P33" s="103">
        <v>11426377000123</v>
      </c>
      <c r="Q33" s="71"/>
      <c r="R33" s="72">
        <v>202300183358937</v>
      </c>
      <c r="S33" s="73"/>
      <c r="T33" s="104" t="s">
        <v>193</v>
      </c>
      <c r="U33" t="s">
        <v>531</v>
      </c>
      <c r="V33" t="str">
        <f t="shared" si="2"/>
        <v>'21/11/2024 - Juntada efetuada' + CHAR(13) + CHAR(10) + 
'21/11/2024 - Docs recebidos' + CHAR(13) + CHAR(10) + 
'07/11/2024 - Informado que será prorrogado por mais 6 meses, ag retorno' + CHAR(13) + CHAR(10) + 
'30/09/2024 - Cobrado procedimento a ser adotado' + CHAR(13) + CHAR(10) + 
'20/09/2024 - Juntada efetuada' + CHAR(13) + CHAR(10) + 
'20/09/2024 - Docs recebidos' + CHAR(13) + CHAR(10) + 
'16/09/2024 - Solicitado prorrogaçao por mais 2 meses, RPR enivado, ag retorno' + CHAR(13) + CHAR(10) + 
'09/09/2024 - Cobrado novamente' + CHAR(13) + CHAR(10) + 
'25/07/2024 - Cobrado procedimento a ser adotado' + CHAR(13) + CHAR(10) + 
'19/07/2024 - Juntada efetuada' + CHAR(13) + CHAR(10) + 
'19/07/2024 - Docs recebidos' + CHAR(13) + CHAR(10) + 
'17/07/2024 - RPR enviado, ag retorno' + CHAR(13) + CHAR(10) + 
'16/07/2024 - Solicitado prorrogaçao por mais 2 meses' + CHAR(13) + CHAR(10) + 
'05/07/2024 - Cobrado novamente' + CHAR(13) + CHAR(10) + 
'03/06/2024 - Cobrado procedimento a ser adotado' + CHAR(13) + CHAR(10) + 
'19/01/2024 - Juntada efetuada' + CHAR(13) + CHAR(10) + 
'17/01/2024 - Docs recebidos' + CHAR(13) + CHAR(10) + 
'05/01/2024 - RPR enviado, ag retorno' + CHAR(13) + CHAR(10) + 
'04/01/2024 - Solicitado prorrogação por mais 6 meses' + CHAR(13) + CHAR(10) + 
'28/12/2023 - Cobrado novamente' + CHAR(13) + CHAR(10) + 
'21/11/2023 - Cobrado procedimento a ser adotado' + CHAR(13) + CHAR(10) + 
'20/10/2023 - Juntada efetuada' + CHAR(13) + CHAR(10) + 
'19/10/2023 - Recebido Aditivo' + CHAR(13) + CHAR(10) + 
'11/10/2023 - RPR enviado, ag retorno' + CHAR(13) + CHAR(10) + 
'10/10/2023 - Informado que será renovado por 3 meses' + CHAR(13) + CHAR(10) + 
'29/09/2023 - Cobrado novamente' + CHAR(13) + CHAR(10) + 
'21/08/2023 - Cobrado procedimento a ser adotado' + CHAR(13) + CHAR(10) + 
'08/03/2023 - Processo incluido no controle'</v>
      </c>
      <c r="W33" t="str">
        <v>WHEN 31 THEN
'21/11/2024 - Juntada efetuada' + CHAR(13) + CHAR(10) + 
'21/11/2024 - Docs recebidos' + CHAR(13) + CHAR(10) + 
'07/11/2024 - Informado que será prorrogado por mais 6 meses, ag retorno' + CHAR(13) + CHAR(10) + 
'30/09/2024 - Cobrado procedimento a ser adotado' + CHAR(13) + CHAR(10) + 
'20/09/2024 - Juntada efetuada' + CHAR(13) + CHAR(10) + 
'20/09/2024 - Docs recebidos' + CHAR(13) + CHAR(10) + 
'16/09/2024 - Solicitado prorrogaçao por mais 2 meses, RPR enivado, ag retorno' + CHAR(13) + CHAR(10) + 
'09/09/2024 - Cobrado novamente' + CHAR(13) + CHAR(10) + 
'25/07/2024 - Cobrado procedimento a ser adotado' + CHAR(13) + CHAR(10) + 
'19/07/2024 - Juntada efetuada' + CHAR(13) + CHAR(10) + 
'19/07/2024 - Docs recebidos' + CHAR(13) + CHAR(10) + 
'17/07/2024 - RPR enviado, ag retorno' + CHAR(13) + CHAR(10) + 
'16/07/2024 - Solicitado prorrogaçao por mais 2 meses' + CHAR(13) + CHAR(10) + 
'05/07/2024 - Cobrado novamente' + CHAR(13) + CHAR(10) + 
'03/06/2024 - Cobrado procedimento a ser adotado' + CHAR(13) + CHAR(10) + 
'19/01/2024 - Juntada efetuada' + CHAR(13) + CHAR(10) + 
'17/01/2024 - Docs recebidos' + CHAR(13) + CHAR(10) + 
'05/01/2024 - RPR enviado, ag retorno' + CHAR(13) + CHAR(10) + 
'04/01/2024 - Solicitado prorrogação por mais 6 meses' + CHAR(13) + CHAR(10) + 
'28/12/2023 - Cobrado novamente' + CHAR(13) + CHAR(10) + 
'21/11/2023 - Cobrado procedimento a ser adotado' + CHAR(13) + CHAR(10) + 
'20/10/2023 - Juntada efetuada' + CHAR(13) + CHAR(10) + 
'19/10/2023 - Recebido Aditivo' + CHAR(13) + CHAR(10) + 
'11/10/2023 - RPR enviado, ag retorno' + CHAR(13) + CHAR(10) + 
'10/10/2023 - Informado que será renovado por 3 meses' + CHAR(13) + CHAR(10) + 
'29/09/2023 - Cobrado novamente' + CHAR(13) + CHAR(10) + 
'21/08/2023 - Cobrado procedimento a ser adotado' + CHAR(13) + CHAR(10) + 
'08/03/2023 - Processo incluido no controle'</v>
      </c>
      <c r="X33" t="str">
        <v>WHEN 31 THEN
'MACACO HIDRAULICO PARA ELEVAÇÃO DE DUPLA AÇÃO, MARCA MAMMOET, MODELO JA-CL-DA-300-2, SERIE/SAP. 5266666 / 5266667 /5266669 / 5266671 / 5266673 / 5266674 / 5266675 / 5266676, CAPACIDADE DE 300 TONELADAS, ANO DE FABRICAÇÃO 2009. INCLUINDO SEUSACESSORIOS, DESMONTADO PARA MANUSEIO E TRANSPORTE'</v>
      </c>
    </row>
    <row r="34" spans="1:24" ht="53.25" customHeight="1" x14ac:dyDescent="0.25">
      <c r="A34" t="str">
        <f>B34&amp;" - "&amp;COUNTIF($B$3:B34,B34)</f>
        <v>MAMMOET - 24</v>
      </c>
      <c r="B34" s="93" t="s">
        <v>19</v>
      </c>
      <c r="C34" s="45">
        <v>2210492504</v>
      </c>
      <c r="D34" s="94" t="s">
        <v>194</v>
      </c>
      <c r="E34" s="47" t="s">
        <v>195</v>
      </c>
      <c r="F34" s="48" t="s">
        <v>21</v>
      </c>
      <c r="G34" s="95">
        <v>102205119780874</v>
      </c>
      <c r="H34" s="50">
        <f t="shared" si="0"/>
        <v>45745</v>
      </c>
      <c r="I34" s="19">
        <f t="shared" si="1"/>
        <v>45776</v>
      </c>
      <c r="J34" s="51" t="s">
        <v>40</v>
      </c>
      <c r="K34" s="96" t="s">
        <v>196</v>
      </c>
      <c r="L34" s="36">
        <v>45806</v>
      </c>
      <c r="M34" s="37">
        <v>44714</v>
      </c>
      <c r="N34" s="37">
        <v>44741</v>
      </c>
      <c r="O34" s="44" t="s">
        <v>152</v>
      </c>
      <c r="P34" s="38">
        <v>11426377000123</v>
      </c>
      <c r="Q34" s="26"/>
      <c r="R34" s="27">
        <v>202200151601747</v>
      </c>
      <c r="S34" s="28"/>
      <c r="T34" s="29" t="s">
        <v>197</v>
      </c>
      <c r="U34" t="s">
        <v>529</v>
      </c>
      <c r="V34" t="str">
        <f t="shared" si="2"/>
        <v>'29/11/2024 - Juntada efetuada' + CHAR(13) + CHAR(10) + 
'28/11/2024 - Docs recebidos' + CHAR(13) + CHAR(10) + 
'25/11/2024 - Numerario enviado, ag retorno' + CHAR(13) + CHAR(10) + 
'21/11/2024 - Solicitado prorrogaçao por mais 6 meses' + CHAR(13) + CHAR(10) + 
'30/09/2024 - Cobrado procedimento a ser adotado' + CHAR(13) + CHAR(10) + 
'28/06/2024 - Juntada efetuada' + CHAR(13) + CHAR(10) + 
'27/06/2024 - Docs recebidos' + CHAR(13) + CHAR(10) + 
'17/06/2024 - Numerario enviado, ag retorno' + CHAR(13) + CHAR(10) + 
'13/06/2024 - Porrogação por mais 5 meses' + CHAR(13) + CHAR(10) + 
'30/04/2024 - Cobrado procedimento a ser adotado' + CHAR(13) + CHAR(10) + 
'29/12/2023 - Juntada efetuada' + CHAR(13) + CHAR(10) + 
'22/12/2023 - Docs recebidos' + CHAR(13) + CHAR(10) + 
'01/12/2023 - Enviado RPR e Numerario, ag retorno' + CHAR(13) + CHAR(10) + 
'22/11/2023 - Solicitado prorrogação por mais 6 meses' + CHAR(13) + CHAR(10) + 
'30/10/2023 - Cobrado procedimento a ser adotado' + CHAR(13) + CHAR(10) + 
'28/06/2023 - Juntada efetuada pelo DOSSIE' + CHAR(13) + CHAR(10) + 
'15/06/2023 - Enviado documentação' + CHAR(13) + CHAR(10) + 
'01/06/2023 - Solicitado prorrogação por 6 meses, Numerario enviado, aguardando retorno' + CHAR(13) + CHAR(10) + 
'26/04/2023 - Cobrado procedimento a ser adotado' + CHAR(13) + CHAR(10) + 
'28/07/2022 - Processo incluido no controle'</v>
      </c>
      <c r="W34" t="str">
        <v>WHEN 32 THEN
'29/11/2024 - Juntada efetuada' + CHAR(13) + CHAR(10) + 
'28/11/2024 - Docs recebidos' + CHAR(13) + CHAR(10) + 
'25/11/2024 - Numerario enviado, ag retorno' + CHAR(13) + CHAR(10) + 
'21/11/2024 - Solicitado prorrogaçao por mais 6 meses' + CHAR(13) + CHAR(10) + 
'30/09/2024 - Cobrado procedimento a ser adotado' + CHAR(13) + CHAR(10) + 
'28/06/2024 - Juntada efetuada' + CHAR(13) + CHAR(10) + 
'27/06/2024 - Docs recebidos' + CHAR(13) + CHAR(10) + 
'17/06/2024 - Numerario enviado, ag retorno' + CHAR(13) + CHAR(10) + 
'13/06/2024 - Porrogação por mais 5 meses' + CHAR(13) + CHAR(10) + 
'30/04/2024 - Cobrado procedimento a ser adotado' + CHAR(13) + CHAR(10) + 
'29/12/2023 - Juntada efetuada' + CHAR(13) + CHAR(10) + 
'22/12/2023 - Docs recebidos' + CHAR(13) + CHAR(10) + 
'01/12/2023 - Enviado RPR e Numerario, ag retorno' + CHAR(13) + CHAR(10) + 
'22/11/2023 - Solicitado prorrogação por mais 6 meses' + CHAR(13) + CHAR(10) + 
'30/10/2023 - Cobrado procedimento a ser adotado' + CHAR(13) + CHAR(10) + 
'28/06/2023 - Juntada efetuada pelo DOSSIE' + CHAR(13) + CHAR(10) + 
'15/06/2023 - Enviado documentação' + CHAR(13) + CHAR(10) + 
'01/06/2023 - Solicitado prorrogação por 6 meses, Numerario enviado, aguardando retorno' + CHAR(13) + CHAR(10) + 
'26/04/2023 - Cobrado procedimento a ser adotado' + CHAR(13) + CHAR(10) + 
'28/07/2022 - Processo incluido no controle'</v>
      </c>
      <c r="X34" t="str">
        <v>WHEN 32 THEN
'DISPOSITIVO ESPECIAL PARA CONEXÃO FÍSICA DE GRUPOS DE LINHA DE EIXO, MODELO CO-BL-SCH-BX-2, ANO DE FABRICAÇÃO 2007 - USADO, FROTA Nº 5601638, COR VERMELHO. UTILIZADO EM VEICULO AUTOPROPELIDO PARA TRANSPORTE A PEQUENA DISTANCIA DE ESTRUTURA DE GRANDE DIMENSÃO.'</v>
      </c>
    </row>
    <row r="35" spans="1:24" ht="53.25" customHeight="1" x14ac:dyDescent="0.25">
      <c r="A35" t="str">
        <f>B35&amp;" - "&amp;COUNTIF($B$3:B35,B35)</f>
        <v>MAMMOET - 25</v>
      </c>
      <c r="B35" s="44" t="s">
        <v>19</v>
      </c>
      <c r="C35" s="45">
        <v>2119044286</v>
      </c>
      <c r="D35" s="46" t="s">
        <v>198</v>
      </c>
      <c r="E35" s="47" t="s">
        <v>199</v>
      </c>
      <c r="F35" s="48" t="s">
        <v>21</v>
      </c>
      <c r="G35" s="49">
        <v>132105237986793</v>
      </c>
      <c r="H35" s="50">
        <f t="shared" si="0"/>
        <v>45753</v>
      </c>
      <c r="I35" s="19">
        <f t="shared" si="1"/>
        <v>45783</v>
      </c>
      <c r="J35" s="51" t="s">
        <v>200</v>
      </c>
      <c r="K35" s="52" t="s">
        <v>120</v>
      </c>
      <c r="L35" s="36">
        <v>45814</v>
      </c>
      <c r="M35" s="37">
        <v>44474</v>
      </c>
      <c r="N35" s="23">
        <v>44475</v>
      </c>
      <c r="O35" s="101" t="s">
        <v>93</v>
      </c>
      <c r="P35" s="38">
        <v>11426377000638</v>
      </c>
      <c r="Q35" s="26"/>
      <c r="R35" s="27">
        <v>202100123107563</v>
      </c>
      <c r="S35" s="28"/>
      <c r="T35" s="64" t="s">
        <v>201</v>
      </c>
      <c r="U35" t="s">
        <v>529</v>
      </c>
      <c r="V35" t="str">
        <f t="shared" si="2"/>
        <v>'03/12/2024 - Juntada efetuda' + CHAR(13) + CHAR(10) + 
'25/11/2024 - Solicitado prorrogacao por mais 6 meses, numerario enviado ag retorno' + CHAR(13) + CHAR(10) + 
'06/11/2024 - Cobrado procedimento a ser adotado' + CHAR(13) + CHAR(10) + 
'04/11/2024 - Juntada efetuada' + CHAR(13) + CHAR(10) + 
'29/10/2024 - Docs recebidos' + CHAR(13) + CHAR(10) + 
'18/10/2024 - Numerario enviado, ag retorno' + CHAR(13) + CHAR(10) + 
'17/10/2024 - Solicitado prorrogaçao por mais 1 mes' + CHAR(13) + CHAR(10) + 
'09/09/2024 - Cobrado procedimento a ser adotado' + CHAR(13) + CHAR(10) + 
'05/07/2024 - Juntada efetuada' + CHAR(13) + CHAR(10) + 
'05/07/2024 - Docs recebidos' + CHAR(13) + CHAR(10) + 
'25/06/2024 - Solicitado prorrogação por mais 4 meses, numerario enviado, ag retorno' + CHAR(13) + CHAR(10) + 
'10/06/2024 - Cobrado procedimento' + CHAR(13) + CHAR(10) + 
'06/06/2024 - Juntada efetuada' + CHAR(13) + CHAR(10) + 
'05/05/2024 - Docs recebidos' + CHAR(13) + CHAR(10) + 
'27/05/2024 - Solicitado renovação por mais 1 nes, ag retorno' + CHAR(13) + CHAR(10) + 
'08/05/2024 - Cobrado novamente' + CHAR(13) + CHAR(10) + 
'15/04/2024 - Cobrado procedimento a ser adotado' + CHAR(13) + CHAR(10) + 
'05/01/2024 - Juntada efetuada' + CHAR(13) + CHAR(10) + 
'05/01/2024 - Docs recebidos' + CHAR(13) + CHAR(10) + 
'08/11/2023 - Cobrado procedimento a ser adotado' + CHAR(13) + CHAR(10) + 
'06/07/2023 - Juntada efetuada através do DOSSIE' + CHAR(13) + CHAR(10) + 
'27/06/2023 - Docs recebidos' + CHAR(13) + CHAR(10) + 
'19/06/2023 - Informado que será prorrogado por 6 meses, Numerario enviado, ag retorno' + CHAR(13) + CHAR(10) + 
'09/05/2023 - Cobrado procedimento a ser adotado' + CHAR(13) + CHAR(10) + 
'05/04/2023 - Juntada efetuada pelo DOSSIE' + CHAR(13) + CHAR(10) + 
'04/04/2023 - Docs recebidos' + CHAR(13) + CHAR(10) + 
'15/03/2023 - Numerario enviado, ag retorno' + CHAR(13) + CHAR(10) + 
'14/03/2023 - Cobrado novamente, informado que será prorrogado por mais 3 meses' + CHAR(13) + CHAR(10) + 
'08/02/2023 - Cobrado procedimento a ser adotado' + CHAR(13) + CHAR(10) + 
'06/04/2022 - Juntada anexada ao DOSSIE' + CHAR(13) + CHAR(10) + 
'31/03/2022 - Cobrado documentos novamente' + CHAR(13) + CHAR(10) + 
'14/03/2022 - Solicitado renovação por 12 meses, numerário enviado' + CHAR(13) + CHAR(10) + 
'09/03/2022 - Cobrado novamente' + CHAR(13) + CHAR(10) + 
'04/02/2022 - Cobrado procedimento a ser adotado' + CHAR(13) + CHAR(10) + 
'29/10/2021 - Processo incluido no controle'</v>
      </c>
      <c r="W35" t="str">
        <v>WHEN 33 THEN
'03/12/2024 - Juntada efetuda' + CHAR(13) + CHAR(10) + 
'25/11/2024 - Solicitado prorrogacao por mais 6 meses, numerario enviado ag retorno' + CHAR(13) + CHAR(10) + 
'06/11/2024 - Cobrado procedimento a ser adotado' + CHAR(13) + CHAR(10) + 
'04/11/2024 - Juntada efetuada' + CHAR(13) + CHAR(10) + 
'29/10/2024 - Docs recebidos' + CHAR(13) + CHAR(10) + 
'18/10/2024 - Numerario enviado, ag retorno' + CHAR(13) + CHAR(10) + 
'17/10/2024 - Solicitado prorrogaçao por mais 1 mes' + CHAR(13) + CHAR(10) + 
'09/09/2024 - Cobrado procedimento a ser adotado' + CHAR(13) + CHAR(10) + 
'05/07/2024 - Juntada efetuada' + CHAR(13) + CHAR(10) + 
'05/07/2024 - Docs recebidos' + CHAR(13) + CHAR(10) + 
'25/06/2024 - Solicitado prorrogação por mais 4 meses, numerario enviado, ag retorno' + CHAR(13) + CHAR(10) + 
'10/06/2024 - Cobrado procedimento' + CHAR(13) + CHAR(10) + 
'06/06/2024 - Juntada efetuada' + CHAR(13) + CHAR(10) + 
'05/05/2024 - Docs recebidos' + CHAR(13) + CHAR(10) + 
'27/05/2024 - Solicitado renovação por mais 1 nes, ag retorno' + CHAR(13) + CHAR(10) + 
'08/05/2024 - Cobrado novamente' + CHAR(13) + CHAR(10) + 
'15/04/2024 - Cobrado procedimento a ser adotado' + CHAR(13) + CHAR(10) + 
'05/01/2024 - Juntada efetuada' + CHAR(13) + CHAR(10) + 
'05/01/2024 - Docs recebidos' + CHAR(13) + CHAR(10) + 
'08/11/2023 - Cobrado procedimento a ser adotado' + CHAR(13) + CHAR(10) + 
'06/07/2023 - Juntada efetuada através do DOSSIE' + CHAR(13) + CHAR(10) + 
'27/06/2023 - Docs recebidos' + CHAR(13) + CHAR(10) + 
'19/06/2023 - Informado que será prorrogado por 6 meses, Numerario enviado, ag retorno' + CHAR(13) + CHAR(10) + 
'09/05/2023 - Cobrado procedimento a ser adotado' + CHAR(13) + CHAR(10) + 
'05/04/2023 - Juntada efetuada pelo DOSSIE' + CHAR(13) + CHAR(10) + 
'04/04/2023 - Docs recebidos' + CHAR(13) + CHAR(10) + 
'15/03/2023 - Numerario enviado, ag retorno' + CHAR(13) + CHAR(10) + 
'14/03/2023 - Cobrado novamente, informado que será prorrogado por mais 3 meses' + CHAR(13) + CHAR(10) + 
'08/02/2023 - Cobrado procedimento a ser adotado' + CHAR(13) + CHAR(10) + 
'06/04/2022 - Juntada anexada ao DOSSIE' + CHAR(13) + CHAR(10) + 
'31/03/2022 - Cobrado documentos novamente' + CHAR(13) + CHAR(10) + 
'14/03/2022 - Solicitado renovação por 12 meses, numerário enviado' + CHAR(13) + CHAR(10) + 
'09/03/2022 - Cobrado novamente' + CHAR(13) + CHAR(10) + 
'04/02/2022 - Cobrado procedimento a ser adotado' + CHAR(13) + CHAR(10) + 
'29/10/2021 - Processo incluido no controle'</v>
      </c>
      <c r="X35" t="str">
        <v>WHEN 33 THEN
'PARTE DE GUINDASTE AUTOPROPELIDO CC2800, SENDO: MOITÃO 200T, CABO DE 28MM, 5 ROLDANAS, MARCA 5321322, MODELO HF-280200-00001, NUMERO DE SERIE 63078-2, ANO DE FABRICAÇÃO 2007 - USADO.'</v>
      </c>
    </row>
    <row r="36" spans="1:24" ht="53.25" customHeight="1" x14ac:dyDescent="0.25">
      <c r="A36" t="str">
        <f>B36&amp;" - "&amp;COUNTIF($B$3:B36,B36)</f>
        <v>MAMMOET - 26</v>
      </c>
      <c r="B36" s="44" t="s">
        <v>19</v>
      </c>
      <c r="C36" s="45">
        <v>2106758145</v>
      </c>
      <c r="D36" s="46" t="s">
        <v>202</v>
      </c>
      <c r="E36" s="47" t="s">
        <v>203</v>
      </c>
      <c r="F36" s="48"/>
      <c r="G36" s="49"/>
      <c r="H36" s="50">
        <f t="shared" si="0"/>
        <v>45758</v>
      </c>
      <c r="I36" s="19">
        <f t="shared" si="1"/>
        <v>45788</v>
      </c>
      <c r="J36" s="51" t="s">
        <v>204</v>
      </c>
      <c r="K36" s="52" t="s">
        <v>205</v>
      </c>
      <c r="L36" s="53">
        <v>45819</v>
      </c>
      <c r="M36" s="54">
        <v>44294</v>
      </c>
      <c r="N36" s="55">
        <v>44300</v>
      </c>
      <c r="O36" s="101" t="s">
        <v>174</v>
      </c>
      <c r="P36" s="56">
        <v>11426377000123</v>
      </c>
      <c r="Q36" s="57"/>
      <c r="R36" s="58">
        <v>202100105179086</v>
      </c>
      <c r="S36" s="98"/>
      <c r="T36" s="60" t="s">
        <v>206</v>
      </c>
      <c r="U36" t="s">
        <v>531</v>
      </c>
      <c r="V36" t="str">
        <f t="shared" si="2"/>
        <v>'10/12/2024 - Juntada efetuada' + CHAR(13) + CHAR(10) + 
'03/12/2024 - Docs recebidos' + CHAR(13) + CHAR(10) + 
'25/11/2024 - Solicitado prorrogaçao por mais 6 meses, numerario enviado, ag retorno' + CHAR(13) + CHAR(10) + 
'18/11/2024 - Cobrado procedimento a ser adotado' + CHAR(13) + CHAR(10) + 
'11/11/2024 - Juntada efetuada' + CHAR(13) + CHAR(10) + 
'11/11/2024 - Docs recebidos' + CHAR(13) + CHAR(10) + 
'22/10/2024 - Numerario enviado, ag retorno' + CHAR(13) + CHAR(10) + 
'21/10/2024 - Solciitado prorrogaçao por mais 1 mes' + CHAR(13) + CHAR(10) + 
'14/10/2024 - Cobrado novamente' + CHAR(13) + CHAR(10) + 
'30/09/2024 - Cobrado procedimento a ser adotado' + CHAR(13) + CHAR(10) + 
'11/06/2024 - Juntada efetuada' + CHAR(13) + CHAR(10) + 
'07/06/2024 - Docs recebidos' + CHAR(13) + CHAR(10) + 
'29/05/2024 - Solicitado prorrogação por mais 1 mes, ag retorno' + CHAR(13) + CHAR(10) + 
'15/04/2024 - Cobrado procedimento a ser adotado' + CHAR(13) + CHAR(10) + 
'11/01/2024 - Juntada efetuada' + CHAR(13) + CHAR(10) + 
'09/01/2024 - Docs recebidos' + CHAR(13) + CHAR(10) + 
'04/01/2024 - Numerario e RPR enviados, ag retorno' + CHAR(13) + CHAR(10) + 
'03/01/2024 - Informado que será prorrogado por mais 4 meses' + CHAR(13) + CHAR(10) + 
'28/12/2023 - Cobrado novamente' + CHAR(13) + CHAR(10) + 
'21/11/2023 - Cobrado procedimento a ser adotado' + CHAR(13) + CHAR(10) + 
'10/07/2023 - Juntada efetuada através do DOSSIE' + CHAR(13) + CHAR(10) + 
'07/07/2023 - Docs recebidos' + CHAR(13) + CHAR(10) + 
'20/06/2023 - Numerario enviado, ag retorno' + CHAR(13) + CHAR(10) + 
'19/06/2023 - Informado que será prorrogado por 6 meses' + CHAR(13) + CHAR(10) + 
'18/05/2023 - Cobrado procedimento a ser adotado' + CHAR(13) + CHAR(10) + 
'06/04/2023 - Juntada efetuada no DOSSIE' + CHAR(13) + CHAR(10) + 
'04/04/2023 - Docs recebidos' + CHAR(13) + CHAR(10) + 
'15/03/2023 - Numerario enviado, ag retorno' + CHAR(13) + CHAR(10) + 
'14/03/2023 - Cobrado novamente, Informado que será prorrogado por 3 meses' + CHAR(13) + CHAR(10) + 
'16/02/2023 - Cobrado procedimento a ser adotado' + CHAR(13) + CHAR(10) + 
'11/04/2022 - Juntada anexada ao DOSSIE' + CHAR(13) + CHAR(10) + 
'07/04/2022 - Informado que será prorrogado por 12 meses, numerário enviado, aguardando retorno' + CHAR(13) + CHAR(10) + 
'28/03/2022 - Cobrado novamente' + CHAR(13) + CHAR(10) + 
'14/02/2022 - Cobrado procedimento a ser adotado' + CHAR(13) + CHAR(10) + 
'13/10/2021 - Recebido documentos, e anexados ao DOSSIE' + CHAR(13) + CHAR(10) + 
'05/10/2021 - Cobrado novamente, solicitado prorrogação por 6 meses, Numerario enviado, aguardando retorno' + CHAR(13) + CHAR(10) + 
'27/09/2021 - Cobrado novamente' + CHAR(13) + CHAR(10) + 
'16/08/2021 - Cobrado procedimento a ser adotado' + CHAR(13) + CHAR(10) + 
'26/04/2021 - Processo incluido no controle'</v>
      </c>
      <c r="W36" t="str">
        <v>WHEN 34 THEN
'10/12/2024 - Juntada efetuada' + CHAR(13) + CHAR(10) + 
'03/12/2024 - Docs recebidos' + CHAR(13) + CHAR(10) + 
'25/11/2024 - Solicitado prorrogaçao por mais 6 meses, numerario enviado, ag retorno' + CHAR(13) + CHAR(10) + 
'18/11/2024 - Cobrado procedimento a ser adotado' + CHAR(13) + CHAR(10) + 
'11/11/2024 - Juntada efetuada' + CHAR(13) + CHAR(10) + 
'11/11/2024 - Docs recebidos' + CHAR(13) + CHAR(10) + 
'22/10/2024 - Numerario enviado, ag retorno' + CHAR(13) + CHAR(10) + 
'21/10/2024 - Solciitado prorrogaçao por mais 1 mes' + CHAR(13) + CHAR(10) + 
'14/10/2024 - Cobrado novamente' + CHAR(13) + CHAR(10) + 
'30/09/2024 - Cobrado procedimento a ser adotado' + CHAR(13) + CHAR(10) + 
'11/06/2024 - Juntada efetuada' + CHAR(13) + CHAR(10) + 
'07/06/2024 - Docs recebidos' + CHAR(13) + CHAR(10) + 
'29/05/2024 - Solicitado prorrogação por mais 1 mes, ag retorno' + CHAR(13) + CHAR(10) + 
'15/04/2024 - Cobrado procedimento a ser adotado' + CHAR(13) + CHAR(10) + 
'11/01/2024 - Juntada efetuada' + CHAR(13) + CHAR(10) + 
'09/01/2024 - Docs recebidos' + CHAR(13) + CHAR(10) + 
'04/01/2024 - Numerario e RPR enviados, ag retorno' + CHAR(13) + CHAR(10) + 
'03/01/2024 - Informado que será prorrogado por mais 4 meses' + CHAR(13) + CHAR(10) + 
'28/12/2023 - Cobrado novamente' + CHAR(13) + CHAR(10) + 
'21/11/2023 - Cobrado procedimento a ser adotado' + CHAR(13) + CHAR(10) + 
'10/07/2023 - Juntada efetuada através do DOSSIE' + CHAR(13) + CHAR(10) + 
'07/07/2023 - Docs recebidos' + CHAR(13) + CHAR(10) + 
'20/06/2023 - Numerario enviado, ag retorno' + CHAR(13) + CHAR(10) + 
'19/06/2023 - Informado que será prorrogado por 6 meses' + CHAR(13) + CHAR(10) + 
'18/05/2023 - Cobrado procedimento a ser adotado' + CHAR(13) + CHAR(10) + 
'06/04/2023 - Juntada efetuada no DOSSIE' + CHAR(13) + CHAR(10) + 
'04/04/2023 - Docs recebidos' + CHAR(13) + CHAR(10) + 
'15/03/2023 - Numerario enviado, ag retorno' + CHAR(13) + CHAR(10) + 
'14/03/2023 - Cobrado novamente, Informado que será prorrogado por 3 meses' + CHAR(13) + CHAR(10) + 
'16/02/2023 - Cobrado procedimento a ser adotado' + CHAR(13) + CHAR(10) + 
'11/04/2022 - Juntada anexada ao DOSSIE' + CHAR(13) + CHAR(10) + 
'07/04/2022 - Informado que será prorrogado por 12 meses, numerário enviado, aguardando retorno' + CHAR(13) + CHAR(10) + 
'28/03/2022 - Cobrado novamente' + CHAR(13) + CHAR(10) + 
'14/02/2022 - Cobrado procedimento a ser adotado' + CHAR(13) + CHAR(10) + 
'13/10/2021 - Recebido documentos, e anexados ao DOSSIE' + CHAR(13) + CHAR(10) + 
'05/10/2021 - Cobrado novamente, solicitado prorrogação por 6 meses, Numerario enviado, aguardando retorno' + CHAR(13) + CHAR(10) + 
'27/09/2021 - Cobrado novamente' + CHAR(13) + CHAR(10) + 
'16/08/2021 - Cobrado procedimento a ser adotado' + CHAR(13) + CHAR(10) + 
'26/04/2021 - Processo incluido no controle'</v>
      </c>
      <c r="X36" t="str">
        <v>WHEN 34 THEN
'CONJUNTO USADO, DE ATUADOR HIDROELÉTRICA DESMONTADO PARA CILINDRO ESTABILIZADOR DO CONJUNTO DE TRILHA ESTREITA PARA GUINDASTE CC-2800'</v>
      </c>
    </row>
    <row r="37" spans="1:24" ht="53.25" customHeight="1" x14ac:dyDescent="0.25">
      <c r="A37" t="str">
        <f>B37&amp;" - "&amp;COUNTIF($B$3:B37,B37)</f>
        <v>MAMMOET - 27</v>
      </c>
      <c r="B37" s="13" t="s">
        <v>19</v>
      </c>
      <c r="C37" s="14">
        <v>2213762170</v>
      </c>
      <c r="D37" s="15" t="s">
        <v>207</v>
      </c>
      <c r="E37" s="13"/>
      <c r="F37" s="16" t="s">
        <v>21</v>
      </c>
      <c r="G37" s="17">
        <v>72205154324450</v>
      </c>
      <c r="H37" s="18">
        <f t="shared" si="0"/>
        <v>45768</v>
      </c>
      <c r="I37" s="63">
        <f t="shared" si="1"/>
        <v>45798</v>
      </c>
      <c r="J37" s="20" t="s">
        <v>22</v>
      </c>
      <c r="K37" s="59" t="s">
        <v>208</v>
      </c>
      <c r="L37" s="105">
        <v>45829</v>
      </c>
      <c r="M37" s="23">
        <v>44762</v>
      </c>
      <c r="N37" s="23">
        <v>44770</v>
      </c>
      <c r="O37" s="101" t="s">
        <v>25</v>
      </c>
      <c r="P37" s="25">
        <v>11426377000123</v>
      </c>
      <c r="Q37" s="26"/>
      <c r="R37" s="27">
        <v>202200158856694</v>
      </c>
      <c r="S37" s="28">
        <v>46588</v>
      </c>
      <c r="T37" s="29" t="s">
        <v>209</v>
      </c>
      <c r="U37" t="s">
        <v>529</v>
      </c>
      <c r="V37" t="str">
        <f t="shared" si="2"/>
        <v>'17/12/2024 - Juntada efetuada' + CHAR(13) + CHAR(10) + 
'16/12/2024 - Docs recebidos' + CHAR(13) + CHAR(10) + 
'29/11/2024 - Numerario enviado, ag retorno' + CHAR(13) + CHAR(10) + 
'28/11/2024 - Solicitado prorrogaçao por mais 6 meses' + CHAR(13) + CHAR(10) + 
'25/11/2024 - Cobrado procedimento a ser adotado' + CHAR(13) + CHAR(10) + 
'21/11/2024 - Juntada efetuada' + CHAR(13) + CHAR(10) + 
'21/11/2024 - Docs recebidos' + CHAR(13) + CHAR(10) + 
'14/11/2024 - Numerario enviado, ag retorno' + CHAR(13) + CHAR(10) + 
'12/11/2024 - Solicitado prorrogaçao por mais 1 mes' + CHAR(13) + CHAR(10) + 
'30/09/2024 - Cobrado procedimento a ser adotado' + CHAR(13) + CHAR(10) + 
'21/08/2024 - Juntada efetuada' + CHAR(13) + CHAR(10) + 
'12/08/2024 - Docs recebidos' + CHAR(13) + CHAR(10) + 
'07/08/2024 - Numerario enviado, ag retorno' + CHAR(13) + CHAR(10) + 
'05/08/2024 - Solicitado prorrogação por mais 3 meses' + CHAR(13) + CHAR(10) + 
'25/06/2024 - Cobrado procedimento a ser adotado' + CHAR(13) + CHAR(10) + 
'21/06/2024 - Juntada efetuada' + CHAR(13) + CHAR(10) + 
'19/06/2024 - Docs recebidos' + CHAR(13) + CHAR(10) + 
'17/06/2024 - Numerario enviado, ag retorno' + CHAR(13) + CHAR(10) + 
'11/06/2024 - Prorrogação por mais 2 meses' + CHAR(13) + CHAR(10) + 
'03/06/2024 - Cobrado novamente' + CHAR(13) + CHAR(10) + 
'30/04/2024 - Cobrado procedimento a ser adotado' + CHAR(13) + CHAR(10) + 
'22/12/2023 - Juntada efetuada.' + CHAR(13) + CHAR(10) + 
'01/12/2023 - RPR e Numerario enviados, ag retorno' + CHAR(13) + CHAR(10) + 
'22/11/2023 - Solicitado renovação por mais 6 meses' + CHAR(13) + CHAR(10) + 
'26/10/2023 - Cobrado procedimento a ser adotado' + CHAR(13) + CHAR(10) + 
'21/06/2023 - Juntada efetuada através do DOSSIE' + CHAR(13) + CHAR(10) + 
'21/06/2023 - Recebido Apolice' + CHAR(13) + CHAR(10) + 
'16/06/2023 - Recbido documentação exceto Apolice' + CHAR(13) + CHAR(10) + 
'02/06/2023 - Solicitado prorrogação por 6 meses, TR, RPR e Numerário enviados, agr retorno' + CHAR(13) + CHAR(10) + 
'01/06/2023 - Cobrado novamente' + CHAR(13) + CHAR(10) + 
'03/05/2023 - Cobrado procedimento a ser adotado' + CHAR(13) + CHAR(10) + 
'22/09/2022 - Processo incluido no controle'</v>
      </c>
      <c r="W37" t="str">
        <v>WHEN 35 THEN
'17/12/2024 - Juntada efetuada' + CHAR(13) + CHAR(10) + 
'16/12/2024 - Docs recebidos' + CHAR(13) + CHAR(10) + 
'29/11/2024 - Numerario enviado, ag retorno' + CHAR(13) + CHAR(10) + 
'28/11/2024 - Solicitado prorrogaçao por mais 6 meses' + CHAR(13) + CHAR(10) + 
'25/11/2024 - Cobrado procedimento a ser adotado' + CHAR(13) + CHAR(10) + 
'21/11/2024 - Juntada efetuada' + CHAR(13) + CHAR(10) + 
'21/11/2024 - Docs recebidos' + CHAR(13) + CHAR(10) + 
'14/11/2024 - Numerario enviado, ag retorno' + CHAR(13) + CHAR(10) + 
'12/11/2024 - Solicitado prorrogaçao por mais 1 mes' + CHAR(13) + CHAR(10) + 
'30/09/2024 - Cobrado procedimento a ser adotado' + CHAR(13) + CHAR(10) + 
'21/08/2024 - Juntada efetuada' + CHAR(13) + CHAR(10) + 
'12/08/2024 - Docs recebidos' + CHAR(13) + CHAR(10) + 
'07/08/2024 - Numerario enviado, ag retorno' + CHAR(13) + CHAR(10) + 
'05/08/2024 - Solicitado prorrogação por mais 3 meses' + CHAR(13) + CHAR(10) + 
'25/06/2024 - Cobrado procedimento a ser adotado' + CHAR(13) + CHAR(10) + 
'21/06/2024 - Juntada efetuada' + CHAR(13) + CHAR(10) + 
'19/06/2024 - Docs recebidos' + CHAR(13) + CHAR(10) + 
'17/06/2024 - Numerario enviado, ag retorno' + CHAR(13) + CHAR(10) + 
'11/06/2024 - Prorrogação por mais 2 meses' + CHAR(13) + CHAR(10) + 
'03/06/2024 - Cobrado novamente' + CHAR(13) + CHAR(10) + 
'30/04/2024 - Cobrado procedimento a ser adotado' + CHAR(13) + CHAR(10) + 
'22/12/2023 - Juntada efetuada.' + CHAR(13) + CHAR(10) + 
'01/12/2023 - RPR e Numerario enviados, ag retorno' + CHAR(13) + CHAR(10) + 
'22/11/2023 - Solicitado renovação por mais 6 meses' + CHAR(13) + CHAR(10) + 
'26/10/2023 - Cobrado procedimento a ser adotado' + CHAR(13) + CHAR(10) + 
'21/06/2023 - Juntada efetuada através do DOSSIE' + CHAR(13) + CHAR(10) + 
'21/06/2023 - Recebido Apolice' + CHAR(13) + CHAR(10) + 
'16/06/2023 - Recbido documentação exceto Apolice' + CHAR(13) + CHAR(10) + 
'02/06/2023 - Solicitado prorrogação por 6 meses, TR, RPR e Numerário enviados, agr retorno' + CHAR(13) + CHAR(10) + 
'01/06/2023 - Cobrado novamente' + CHAR(13) + CHAR(10) + 
'03/05/2023 - Cobrado procedimento a ser adotado' + CHAR(13) + CHAR(10) + 
'22/09/2022 - Processo incluido no controle'</v>
      </c>
      <c r="X37" t="str">
        <v>WHEN 35 THEN
'POWER PACK DE MOVIMENTO RETILÍNEO (CILINDROS), MARCA SCHEUERLE FAHRZEUGFABRIK GMBH, MODELO PPU Z350DC, NÚMERO DE SÉRIE W09913XXX6PS17973, FROTA 303793, ANO DE FABRICAÇÃO 2006, USADO, COM DISPOSITIVOS E FERRAMENTAS DE MONTAGEM E ACESSÓRIOS NECESSÁRIOS PARA OPERAÇÃO.'</v>
      </c>
    </row>
    <row r="38" spans="1:24" ht="53.25" customHeight="1" x14ac:dyDescent="0.25">
      <c r="A38" t="str">
        <f>B38&amp;" - "&amp;COUNTIF($B$3:B38,B38)</f>
        <v>MAMMOET - 28</v>
      </c>
      <c r="B38" s="44" t="s">
        <v>19</v>
      </c>
      <c r="C38" s="45">
        <v>2216549737</v>
      </c>
      <c r="D38" s="46" t="s">
        <v>210</v>
      </c>
      <c r="E38" s="47" t="s">
        <v>211</v>
      </c>
      <c r="F38" s="48" t="s">
        <v>21</v>
      </c>
      <c r="G38" s="49">
        <v>72205188517243</v>
      </c>
      <c r="H38" s="50">
        <f t="shared" si="0"/>
        <v>45769</v>
      </c>
      <c r="I38" s="19">
        <f t="shared" si="1"/>
        <v>45799</v>
      </c>
      <c r="J38" s="51" t="s">
        <v>40</v>
      </c>
      <c r="K38" s="52" t="s">
        <v>212</v>
      </c>
      <c r="L38" s="53">
        <v>45830</v>
      </c>
      <c r="M38" s="54">
        <v>44798</v>
      </c>
      <c r="N38" s="55">
        <v>44826</v>
      </c>
      <c r="O38" s="101" t="s">
        <v>25</v>
      </c>
      <c r="P38" s="56">
        <v>11426377000123</v>
      </c>
      <c r="Q38" s="57"/>
      <c r="R38" s="58">
        <v>202200163555567</v>
      </c>
      <c r="S38" s="98"/>
      <c r="T38" s="60" t="s">
        <v>213</v>
      </c>
      <c r="U38" t="s">
        <v>529</v>
      </c>
      <c r="V38" t="str">
        <f t="shared" si="2"/>
        <v>'18/12/2024 - Juntada efetuada' + CHAR(13) + CHAR(10) + 
'17/12/2024 - Docs recebidos' + CHAR(13) + CHAR(10) + 
'29/11/2024 - Enviado numerario, ag retorno' + CHAR(13) + CHAR(10) + 
'28/11/2024 - Solicitado prorrogaçao por mais 6 meses' + CHAR(13) + CHAR(10) + 
'25/11/2024 - Cobrado procedimento a ser adotado' + CHAR(13) + CHAR(10) + 
'22/11/2024 - Juntada efetuada' + CHAR(13) + CHAR(10) + 
'22/11/2024 - Docs recebidos' + CHAR(13) + CHAR(10) + 
'14/11/2024 - Numerairo enviado, ag retorno' + CHAR(13) + CHAR(10) + 
'12/11/2024 - Solicitado prorrogaçao por mais 1 mes' + CHAR(13) + CHAR(10) + 
'30/09/2024 - Cobrado procedimento a ser adotado' + CHAR(13) + CHAR(10) + 
'22/08/2024 - Juntada efetuada' + CHAR(13) + CHAR(10) + 
'12/08/2024 - Docs recebidos' + CHAR(13) + CHAR(10) + 
'07/08/2024 - Numerario enviado, ag retorno' + CHAR(13) + CHAR(10) + 
'05/08/2024 - Solicitado prorrogação por mais 3 meses' + CHAR(13) + CHAR(10) + 
'25/06/2024 - Cobrado procedimento a ser adotado' + CHAR(13) + CHAR(10) + 
'21/06/2024 - Juntada efetuada' + CHAR(13) + CHAR(10) + 
'19/06/2024 - Docs recebidos' + CHAR(13) + CHAR(10) + 
'17/06/2024 - Numerario enviado, ag retorno' + CHAR(13) + CHAR(10) + 
'11/06/2024 - Prorrogaçao por mais 2 meses' + CHAR(13) + CHAR(10) + 
'03/06/2024 - Cobrado novamente' + CHAR(13) + CHAR(10) + 
'30/04/2024 - Cobrado procedimento a ser adotado' + CHAR(13) + CHAR(10) + 
'21/09/2023 - Juntada efetuada pelo DOSSIE' + CHAR(13) + CHAR(10) + 
'21/09/2023 - Recebido docs' + CHAR(13) + CHAR(10) + 
'31/07/2023 - Enviado numerario, TR e RPR., ag retorno' + CHAR(13) + CHAR(10) + 
'26/07/2023 - Informado que sera prorrogado por mais 12 meses' + CHAR(13) + CHAR(10) + 
'26/06/2023 - Cobrado procedimento a ser adotado' + CHAR(13) + CHAR(10) + 
'04/10/2022 - Processo incluido no controle'</v>
      </c>
      <c r="W38" t="str">
        <v>WHEN 36 THEN
'18/12/2024 - Juntada efetuada' + CHAR(13) + CHAR(10) + 
'17/12/2024 - Docs recebidos' + CHAR(13) + CHAR(10) + 
'29/11/2024 - Enviado numerario, ag retorno' + CHAR(13) + CHAR(10) + 
'28/11/2024 - Solicitado prorrogaçao por mais 6 meses' + CHAR(13) + CHAR(10) + 
'25/11/2024 - Cobrado procedimento a ser adotado' + CHAR(13) + CHAR(10) + 
'22/11/2024 - Juntada efetuada' + CHAR(13) + CHAR(10) + 
'22/11/2024 - Docs recebidos' + CHAR(13) + CHAR(10) + 
'14/11/2024 - Numerairo enviado, ag retorno' + CHAR(13) + CHAR(10) + 
'12/11/2024 - Solicitado prorrogaçao por mais 1 mes' + CHAR(13) + CHAR(10) + 
'30/09/2024 - Cobrado procedimento a ser adotado' + CHAR(13) + CHAR(10) + 
'22/08/2024 - Juntada efetuada' + CHAR(13) + CHAR(10) + 
'12/08/2024 - Docs recebidos' + CHAR(13) + CHAR(10) + 
'07/08/2024 - Numerario enviado, ag retorno' + CHAR(13) + CHAR(10) + 
'05/08/2024 - Solicitado prorrogação por mais 3 meses' + CHAR(13) + CHAR(10) + 
'25/06/2024 - Cobrado procedimento a ser adotado' + CHAR(13) + CHAR(10) + 
'21/06/2024 - Juntada efetuada' + CHAR(13) + CHAR(10) + 
'19/06/2024 - Docs recebidos' + CHAR(13) + CHAR(10) + 
'17/06/2024 - Numerario enviado, ag retorno' + CHAR(13) + CHAR(10) + 
'11/06/2024 - Prorrogaçao por mais 2 meses' + CHAR(13) + CHAR(10) + 
'03/06/2024 - Cobrado novamente' + CHAR(13) + CHAR(10) + 
'30/04/2024 - Cobrado procedimento a ser adotado' + CHAR(13) + CHAR(10) + 
'21/09/2023 - Juntada efetuada pelo DOSSIE' + CHAR(13) + CHAR(10) + 
'21/09/2023 - Recebido docs' + CHAR(13) + CHAR(10) + 
'31/07/2023 - Enviado numerario, TR e RPR., ag retorno' + CHAR(13) + CHAR(10) + 
'26/07/2023 - Informado que sera prorrogado por mais 12 meses' + CHAR(13) + CHAR(10) + 
'26/06/2023 - Cobrado procedimento a ser adotado' + CHAR(13) + CHAR(10) + 
'04/10/2022 - Processo incluido no controle'</v>
      </c>
      <c r="X38" t="str">
        <v>WHEN 36 THEN
'POWER PACK DE MOVIMENTO RETILÍNEO (CILINDROS), MARCA SCHEUERLE FAHRZEUGFABRIK GMBH, MODELO PPU Z350DC, NÚMERO DE SÉRIE W09932XX88PS17574, FROTA 303764, ANO DE FABRICAÇÃO 2009, USADO, COM DISPOSITIVOS E FERRAMENTAS DE MONTAGEM E ACESSÓRIOS NECESSÁRIOS PARA OPERAÇÃO.'</v>
      </c>
    </row>
    <row r="39" spans="1:24" ht="53.25" customHeight="1" x14ac:dyDescent="0.25">
      <c r="A39" t="str">
        <f>B39&amp;" - "&amp;COUNTIF($B$3:B39,B39)</f>
        <v>DTA ENGENHARIA - 3</v>
      </c>
      <c r="B39" s="44" t="s">
        <v>45</v>
      </c>
      <c r="C39" s="45">
        <v>2422306844</v>
      </c>
      <c r="D39" s="46" t="s">
        <v>214</v>
      </c>
      <c r="E39" s="47" t="s">
        <v>215</v>
      </c>
      <c r="F39" s="48"/>
      <c r="G39" s="49"/>
      <c r="H39" s="50">
        <f t="shared" si="0"/>
        <v>45788</v>
      </c>
      <c r="I39" s="19">
        <f t="shared" si="1"/>
        <v>45819</v>
      </c>
      <c r="J39" s="51" t="s">
        <v>216</v>
      </c>
      <c r="K39" s="52" t="s">
        <v>217</v>
      </c>
      <c r="L39" s="53">
        <v>45849</v>
      </c>
      <c r="M39" s="54">
        <v>45576</v>
      </c>
      <c r="N39" s="55">
        <v>45579</v>
      </c>
      <c r="O39" s="101" t="s">
        <v>218</v>
      </c>
      <c r="P39" s="56">
        <v>2385674000187</v>
      </c>
      <c r="Q39" s="57"/>
      <c r="R39" s="58">
        <v>202400256103291</v>
      </c>
      <c r="S39" s="58"/>
      <c r="T39" s="59" t="s">
        <v>219</v>
      </c>
      <c r="U39" t="s">
        <v>530</v>
      </c>
      <c r="V39" t="str">
        <f t="shared" si="2"/>
        <v>'29/10/2024 - Processo incluído no controle'</v>
      </c>
      <c r="W39" t="str">
        <v>WHEN 37 THEN
'29/10/2024 - Processo incluído no controle'</v>
      </c>
      <c r="X39" t="str">
        <v>WHEN 37 THEN
'NOME DA LINDWAY EMBARCAÇÃO: TIPO DE EMBARCAÇÃO: DRAGAS AUTOTRANSPORTADORAS DE ARRASTO E SUCÇÃO IMO: 8402773 BANDEIRA:BELIZE CLASSE:*A1, SERVIÇO DE DRAGAGEM, © , *AMS, *ACCU CLASSIFICAÇÃO: AMERICAN BUREAU OF SHIPPING CÓDIGO INDICATIVO: V3NR7 CONSTRUÇÃO: 1985, EUA, EQUIPADO COM PRAÇA DE MÁQUINAS,
SALA DE BOMBAS DE PROA, PAIOL DE TINTAS, SALA DE AR CONDICIONADO, SALA DE LEME, TREMONHA, PONTE. O NAVIO ESTÁ EQUIPADO COM UMA ACOMODAÇÃO PARA 24 PESSOAS.DIMENSÕES:COMPRIMENTO TOTAL: 93,88 METROS COMPRIMENTO ENTRE PERPENDICULARES: 84,73 METROS BOCA MOLDADA: 16,76 METROS PROFUNDIDADE MOLDADA A MEIA-NAU: 7,47 METROS CALADO DE VERÃO: 6,05 METROS CALADO DE DRAGAGEM: 6,05 METROS ALTURA: 24,99 METROS TONELAGEM (T):TONELAGEM BRUTA: 3498 TONELAGEM LÍQUIDA: 1049 PORTE BRUTO: 4096,6 TN CAPACIDADE DA TREMONHA (TOPO DA BRAÇOLA): 2893 M3 TUBO DE ARRASTO DE SUCÇÃO: 2 COM DIÂMETRO DE 711 MILÍMETROS TUBO DE DESCARGA PARA TREMONHA: DIÂMETRO DE 711 MILÍMETROS
TUBO DE DESCARGA PARA A COSTA: DIÂMETRO DE 711 MILÍMETROS PROFUNDIDADE DE DRAGAGEM: 24,4 METROS VELOCIDADE MÁXIMA: 12,75 NÓS POTÊNCIA TOTAL INSTALADA DO DIESEL: 11739 KW MOTORES PRINCIPAIS:2 MOTORES À DIESEL GENERAL ELECTRIC DE 16 CILINDROS, TIPO 16V250MDB, CADA UM COM POTÊNCIA NOMINAL DE 4035 KW / 5412HP, A 1000 RPM, CADA UM ACIONANDO 1 HÉLICE DE PASSO FIXO POR MEIO DE UMA CAIXA DE REDUÇÃO MASON. GERADOR AUXILIAR:3 MOTORES CATERPILLAR À DIESEL DE 6 CILINDROS, TIPO CAT C18, POTÊNCIA NOMINAL DE 546,5 KW A 1.800 RPM, ACIONANDO 1 GERADOR.DE
EMERGÊNCIA:1 MOTOR CATERPILLAR À DIESEL DE 8 CILINDROS, TIPO CAT 3408, POTÊNCIA NOMINAL DE 208 KW A 1.800 RPM, ACIONANDO 1 GERADOR.HÉLICES:2 HÉLICES DE PASSO CONTROLÁVEL DE BRONZE COM 4 PÁS.IMPULSOR DE PROA: 1 SCHOTTEL S-300-L, ACIONADO POR MOTOR DE 370 KW E HÉLICE DE PASSO FIXO EM TÚNEL.BOMBA DE DRAGAGEM: 2 BOMBAS GIW WBC 26X28-64, SINGLE WALLED, ACIONADAS PELO MOTOR PRINCIPAL POR MEIO DE UMA CAIXA DE REDUÇÃO. BOMBA DE RECALQUE: 1 BOMBA, SINGLE WALLED, VOSTA, TIPO IHC 175-37,5-75, ACIONADA POR UM MOTOR DIESEL DE 932KW/1258HP, 1800RPM
CATERPILLAR 3512 DL-TA, ATRAVÉS DE UMA CAIXA DE REDUÇÃO STORK.BOMBAS DE ÁGUA A JATO:2 BOMBAS GIW LCC-H 250-660, ACIONADAS POR 1 GERADORÀ DIESEL CATERPILLAR 3512, 1652 KWCAPACIDADE DOS TANQUES:ÓLEO COMBUSTÍVEL: 1161,108 M³ ÓLEOS LUBRIFICANTES: 23,03 M³ ÁGUA DOCE: 125,65 T GUINDASTES DE CONVÉS: 1 GUINDASTE HIDRÁULICO APPLETON MARINE DE 3 TONELADAS, SWL (CARGA DE TRABALHO SEGURA) 990 KG 1 GUINDASTE HIDRÁULICO APPLETON MARINE DE 20 TONELADAS, SWL 990 KG ACOMODAÇÃO:A ACOMODAÇÃO É COMPOSTA POR 4 CONVESES.'</v>
      </c>
    </row>
    <row r="40" spans="1:24" ht="53.25" customHeight="1" x14ac:dyDescent="0.25">
      <c r="A40" t="str">
        <f>B40&amp;" - "&amp;COUNTIF($B$3:B40,B40)</f>
        <v>TRANSDATA - 1</v>
      </c>
      <c r="B40" s="44" t="s">
        <v>220</v>
      </c>
      <c r="C40" s="45">
        <v>2316367940</v>
      </c>
      <c r="D40" s="46" t="s">
        <v>221</v>
      </c>
      <c r="E40" s="47" t="s">
        <v>222</v>
      </c>
      <c r="F40" s="48" t="s">
        <v>21</v>
      </c>
      <c r="G40" s="49">
        <v>132305195841804</v>
      </c>
      <c r="H40" s="74">
        <f t="shared" si="0"/>
        <v>45829</v>
      </c>
      <c r="I40" s="19">
        <f t="shared" si="1"/>
        <v>45859</v>
      </c>
      <c r="J40" s="51" t="s">
        <v>223</v>
      </c>
      <c r="K40" s="67" t="s">
        <v>224</v>
      </c>
      <c r="L40" s="68">
        <v>45890</v>
      </c>
      <c r="M40" s="54">
        <v>45159</v>
      </c>
      <c r="N40" s="55">
        <v>45168</v>
      </c>
      <c r="O40" s="102" t="s">
        <v>225</v>
      </c>
      <c r="P40" s="70">
        <v>43053081001334</v>
      </c>
      <c r="Q40" s="75"/>
      <c r="R40" s="76">
        <v>202300205397590</v>
      </c>
      <c r="S40" s="76"/>
      <c r="T40" s="59" t="s">
        <v>226</v>
      </c>
      <c r="U40" t="s">
        <v>529</v>
      </c>
      <c r="V40" t="str">
        <f t="shared" si="2"/>
        <v>'21/08/2024 - Juntada efetuada' + CHAR(13) + CHAR(10) + 
'21/08/2024 - Docs recebidos' + CHAR(13) + CHAR(10) + 
'01/07/2024 - Numerario enviado, ag retorno' + CHAR(13) + CHAR(10) + 
'26/06/2024 - Solicitado prorrogação por mais 12 meses' + CHAR(13) + CHAR(10) + 
'25/06/2024 - Cobrado procedimento a ser adotado' + CHAR(13) + CHAR(10) + 
'06/10/2023 - Processo incluido no controle'</v>
      </c>
      <c r="W40" t="str">
        <v>WHEN 38 THEN
'21/08/2024 - Juntada efetuada' + CHAR(13) + CHAR(10) + 
'21/08/2024 - Docs recebidos' + CHAR(13) + CHAR(10) + 
'01/07/2024 - Numerario enviado, ag retorno' + CHAR(13) + CHAR(10) + 
'26/06/2024 - Solicitado prorrogação por mais 12 meses' + CHAR(13) + CHAR(10) + 
'25/06/2024 - Cobrado procedimento a ser adotado' + CHAR(13) + CHAR(10) + 
'06/10/2023 - Processo incluido no controle'</v>
      </c>
      <c r="X40" t="str">
        <v>WHEN 38 THEN
'GUINDASTE AUTOPROPULSADO SOBRE ESTEIRA, MARCA: MANITOWOC MODELO: M18000, CAPACIDADE DE ELEVAÇÃO: 750
TONELADAS, NÚMERO DE SÉRIE: 1800-1036, USADO ANO DE FABRICAÇÃO: 2007, COMPUTADORIZADO, ACIONADO POR MOTOR DIESEL
, COM SUPERESTRUTURA, LANÇA PRINCIPAL, LANÇA MASTRO, SUPERLIFT MAXER COM TODOS OS ACESSÓRIOS PARA SEU
FUNCIONAMENTO, PARCIALMENTE DESMONTADO PARA MANUSEIO E TRANSPORTE.'</v>
      </c>
    </row>
    <row r="41" spans="1:24" ht="53.25" customHeight="1" x14ac:dyDescent="0.25">
      <c r="A41" t="str">
        <f>B41&amp;" - "&amp;COUNTIF($B$3:B41,B41)</f>
        <v>TSE S/A - 1</v>
      </c>
      <c r="B41" s="44" t="s">
        <v>227</v>
      </c>
      <c r="C41" s="45">
        <v>2420073435</v>
      </c>
      <c r="D41" s="46" t="s">
        <v>228</v>
      </c>
      <c r="E41" s="47" t="s">
        <v>229</v>
      </c>
      <c r="F41" s="48"/>
      <c r="G41" s="49"/>
      <c r="H41" s="50">
        <f t="shared" si="0"/>
        <v>45839</v>
      </c>
      <c r="I41" s="19">
        <f t="shared" si="1"/>
        <v>45870</v>
      </c>
      <c r="J41" s="51" t="s">
        <v>230</v>
      </c>
      <c r="K41" s="106" t="s">
        <v>71</v>
      </c>
      <c r="L41" s="53">
        <v>45901</v>
      </c>
      <c r="M41" s="54">
        <v>45551</v>
      </c>
      <c r="N41" s="55">
        <v>45553</v>
      </c>
      <c r="O41" s="107" t="s">
        <v>231</v>
      </c>
      <c r="P41" s="56">
        <v>15563826000489</v>
      </c>
      <c r="Q41" s="57"/>
      <c r="R41" s="58">
        <v>202400252826140</v>
      </c>
      <c r="S41" s="58"/>
      <c r="T41" s="59" t="s">
        <v>232</v>
      </c>
      <c r="U41" t="s">
        <v>531</v>
      </c>
      <c r="V41" t="str">
        <f t="shared" si="2"/>
        <v>'23/09/2024 - Processo incluído no controle'</v>
      </c>
      <c r="W41" t="str">
        <v>WHEN 39 THEN
'23/09/2024 - Processo incluído no controle'</v>
      </c>
      <c r="X41" t="str">
        <v>WHEN 39 THEN
'DIVERSOS EQUIPAMENTOS CONFORME DI'</v>
      </c>
    </row>
    <row r="42" spans="1:24" ht="53.25" customHeight="1" x14ac:dyDescent="0.25">
      <c r="A42" t="str">
        <f>B42&amp;" - "&amp;COUNTIF($B$3:B42,B42)</f>
        <v>VEOLIA - 2</v>
      </c>
      <c r="B42" s="44" t="s">
        <v>183</v>
      </c>
      <c r="C42" s="45">
        <v>2425413366</v>
      </c>
      <c r="D42" s="46" t="s">
        <v>233</v>
      </c>
      <c r="E42" s="47" t="s">
        <v>234</v>
      </c>
      <c r="F42" s="48" t="s">
        <v>21</v>
      </c>
      <c r="G42" s="49">
        <v>152405318106469</v>
      </c>
      <c r="H42" s="50">
        <f t="shared" si="0"/>
        <v>45849</v>
      </c>
      <c r="I42" s="19">
        <f t="shared" si="1"/>
        <v>45880</v>
      </c>
      <c r="J42" s="51" t="s">
        <v>235</v>
      </c>
      <c r="K42" s="106" t="s">
        <v>236</v>
      </c>
      <c r="L42" s="53">
        <v>45911</v>
      </c>
      <c r="M42" s="54">
        <v>45615</v>
      </c>
      <c r="N42" s="55">
        <v>45615</v>
      </c>
      <c r="O42" s="107" t="s">
        <v>237</v>
      </c>
      <c r="P42" s="56">
        <v>47098918000693</v>
      </c>
      <c r="Q42" s="57"/>
      <c r="R42" s="58">
        <v>202400261377728</v>
      </c>
      <c r="S42" s="58"/>
      <c r="T42" s="59" t="s">
        <v>238</v>
      </c>
      <c r="U42" t="s">
        <v>529</v>
      </c>
      <c r="V42" t="str">
        <f t="shared" si="2"/>
        <v>'29/11/2024 - Processo incluído no controle'</v>
      </c>
      <c r="W42" t="str">
        <v>WHEN 40 THEN
'29/11/2024 - Processo incluído no controle'</v>
      </c>
      <c r="X42" t="str">
        <v>WHEN 40 THEN
'COMBINACAO DE MAQUINAS PARA DESAERACAO (SEPARACAO DE FASES LIQUIDA E GASOSA) COM MEMBRANAS CONTATORAS CONTENDO 1 BOMBA CENTRIFUGA MONOBLOCO, 1 BOMBA DE VACUO, 1 GERADOR DE NITROGENIO, 1 COMPRESSOR DE AR, 1 REFIGERADOR PARA AR COMPRIMIDO. MEDIDOR
DE VAZAO, PRESSOSTATO, SENSOR DE TEMPERATURA, TRANSMISSOR DE PRESSAO, ANALISADOR DE OXIGENIO DISSOLVIDO, VALVULAS DOS TIPOS ESFERA, BORBOLETA, SOLENOIDE E RETENCAO. 2 CARCACAS DE MEMBRANA, ONDE OS ELEMENTOS MECANICOS SAO INTERLIGADOS POR TUBULACOES
DE PVC-U PODENDO SER COLADOS OU PARAFUSADOS E OS DISPOSITIVOS ELETRICOS SAO INTERLIGADOS ATRAVES DE CABOS A UM PAINEL CENTRAL.MONTADOS SOBRE UMA BASE (FRAME) METALICA QUE CONTA COM SUPORTES PARA ALGUNS ITENS, DISPOSTOS EM UMA MONTAGEM PERMANENTE ALOCADA EM CONTAINER PARA USO NA REMOCAO DE GASES DISSOLVIDOS EM AGUA DE PROCESSO DE PETROLIFERA. NÚMERO CONTAINER:JKCU101043722G1 ANO FABRICAÇÃO: 2016 - USADO.'</v>
      </c>
    </row>
    <row r="43" spans="1:24" ht="53.25" customHeight="1" x14ac:dyDescent="0.25">
      <c r="A43" t="str">
        <f>B43&amp;" - "&amp;COUNTIF($B$3:B43,B43)</f>
        <v>MITSUBISHI - 1</v>
      </c>
      <c r="B43" s="44" t="s">
        <v>239</v>
      </c>
      <c r="C43" s="45">
        <v>2319009484</v>
      </c>
      <c r="D43" s="46" t="s">
        <v>240</v>
      </c>
      <c r="E43" s="47" t="s">
        <v>241</v>
      </c>
      <c r="F43" s="48"/>
      <c r="G43" s="49"/>
      <c r="H43" s="74">
        <f t="shared" si="0"/>
        <v>45858</v>
      </c>
      <c r="I43" s="19">
        <f t="shared" si="1"/>
        <v>45889</v>
      </c>
      <c r="J43" s="51" t="s">
        <v>242</v>
      </c>
      <c r="K43" s="106" t="s">
        <v>71</v>
      </c>
      <c r="L43" s="68">
        <v>45920</v>
      </c>
      <c r="M43" s="54">
        <v>45195</v>
      </c>
      <c r="N43" s="55">
        <v>45208</v>
      </c>
      <c r="O43" s="108" t="s">
        <v>65</v>
      </c>
      <c r="P43" s="70">
        <v>23955189000171</v>
      </c>
      <c r="Q43" s="75"/>
      <c r="R43" s="76">
        <v>202300209954280</v>
      </c>
      <c r="S43" s="76"/>
      <c r="T43" s="59" t="s">
        <v>243</v>
      </c>
      <c r="U43" t="s">
        <v>531</v>
      </c>
      <c r="V43" t="str">
        <f t="shared" si="2"/>
        <v>'18/09/2024 - Juntada efetuada' + CHAR(13) + CHAR(10) + 
'16/09/2024 - Docs recebidos' + CHAR(13) + CHAR(10) + 
'02/09/2024 - Numerario, RPR e TR enviados, ag retorno' + CHAR(13) + CHAR(10) + 
'15/08/2024 - Solicitado prorrogaçao por mais 12 meses' + CHAR(13) + CHAR(10) + 
'14/08/2024 - Cobrado procedimento a ser adotado' + CHAR(13) + CHAR(10) + 
'19/10/2023 - Processo incluido no controle'</v>
      </c>
      <c r="W43" t="str">
        <v>WHEN 41 THEN
'18/09/2024 - Juntada efetuada' + CHAR(13) + CHAR(10) + 
'16/09/2024 - Docs recebidos' + CHAR(13) + CHAR(10) + 
'02/09/2024 - Numerario, RPR e TR enviados, ag retorno' + CHAR(13) + CHAR(10) + 
'15/08/2024 - Solicitado prorrogaçao por mais 12 meses' + CHAR(13) + CHAR(10) + 
'14/08/2024 - Cobrado procedimento a ser adotado' + CHAR(13) + CHAR(10) + 
'19/10/2023 - Processo incluido no controle'</v>
      </c>
      <c r="X43" t="str">
        <v>WHEN 41 THEN
'DIVERSOS EQUIPAMENTOS CONFORME DI'</v>
      </c>
    </row>
    <row r="44" spans="1:24" ht="53.25" customHeight="1" x14ac:dyDescent="0.25">
      <c r="A44" t="str">
        <f>B44&amp;" - "&amp;COUNTIF($B$3:B44,B44)</f>
        <v>TRANSDATA - 2</v>
      </c>
      <c r="B44" s="44" t="s">
        <v>220</v>
      </c>
      <c r="C44" s="45">
        <v>2321191189</v>
      </c>
      <c r="D44" s="46" t="s">
        <v>244</v>
      </c>
      <c r="E44" s="47" t="s">
        <v>245</v>
      </c>
      <c r="F44" s="48" t="s">
        <v>21</v>
      </c>
      <c r="G44" s="49">
        <v>132305267830013</v>
      </c>
      <c r="H44" s="74">
        <f t="shared" si="0"/>
        <v>45890</v>
      </c>
      <c r="I44" s="19">
        <f t="shared" si="1"/>
        <v>45921</v>
      </c>
      <c r="J44" s="51" t="s">
        <v>223</v>
      </c>
      <c r="K44" s="106" t="s">
        <v>71</v>
      </c>
      <c r="L44" s="68">
        <v>45951</v>
      </c>
      <c r="M44" s="54">
        <v>45225</v>
      </c>
      <c r="N44" s="55">
        <v>45243</v>
      </c>
      <c r="O44" s="108" t="s">
        <v>124</v>
      </c>
      <c r="P44" s="70">
        <v>43053081001334</v>
      </c>
      <c r="Q44" s="75"/>
      <c r="R44" s="76">
        <v>202300214163318</v>
      </c>
      <c r="S44" s="76"/>
      <c r="T44" s="59" t="s">
        <v>246</v>
      </c>
      <c r="U44" t="s">
        <v>529</v>
      </c>
      <c r="V44" t="str">
        <f t="shared" si="2"/>
        <v>'21/10/2024 - Juntada efetuada' + CHAR(13) + CHAR(10) + 
'15/10/2024 - Docs recebidos' + CHAR(13) + CHAR(10) + 
'02/09/2024 - Numerario enviado, ag retorno' + CHAR(13) + CHAR(10) + 
'22/08/2024 - Solicitado prorrogaçao por mais 12 meses' + CHAR(13) + CHAR(10) + 
'22/08/2024 - Cobrado procedimento a ser adotado' + CHAR(13) + CHAR(10) + 
'29/12/2023 - Processo incluido no controle'</v>
      </c>
      <c r="W44" t="str">
        <v>WHEN 42 THEN
'21/10/2024 - Juntada efetuada' + CHAR(13) + CHAR(10) + 
'15/10/2024 - Docs recebidos' + CHAR(13) + CHAR(10) + 
'02/09/2024 - Numerario enviado, ag retorno' + CHAR(13) + CHAR(10) + 
'22/08/2024 - Solicitado prorrogaçao por mais 12 meses' + CHAR(13) + CHAR(10) + 
'22/08/2024 - Cobrado procedimento a ser adotado' + CHAR(13) + CHAR(10) + 
'29/12/2023 - Processo incluido no controle'</v>
      </c>
      <c r="X44" t="str">
        <v>WHEN 42 THEN
'DIVERSOS EQUIPAMENTOS CONFORME DI'</v>
      </c>
    </row>
    <row r="45" spans="1:24" ht="53.25" customHeight="1" x14ac:dyDescent="0.25">
      <c r="A45" t="str">
        <f>B45&amp;" - "&amp;COUNTIF($B$3:B45,B45)</f>
        <v>MEGASIL - 2</v>
      </c>
      <c r="B45" s="44" t="s">
        <v>67</v>
      </c>
      <c r="C45" s="45">
        <v>2119807018</v>
      </c>
      <c r="D45" s="46" t="s">
        <v>247</v>
      </c>
      <c r="E45" s="47" t="s">
        <v>248</v>
      </c>
      <c r="F45" s="48" t="s">
        <v>21</v>
      </c>
      <c r="G45" s="49">
        <v>152105242416074</v>
      </c>
      <c r="H45" s="50">
        <f t="shared" si="0"/>
        <v>45895</v>
      </c>
      <c r="I45" s="19">
        <f t="shared" si="1"/>
        <v>45926</v>
      </c>
      <c r="J45" s="51" t="s">
        <v>249</v>
      </c>
      <c r="K45" s="106" t="s">
        <v>71</v>
      </c>
      <c r="L45" s="53">
        <v>45956</v>
      </c>
      <c r="M45" s="54">
        <v>44484</v>
      </c>
      <c r="N45" s="55">
        <v>44495</v>
      </c>
      <c r="O45" s="107" t="s">
        <v>72</v>
      </c>
      <c r="P45" s="56">
        <v>2295964000130</v>
      </c>
      <c r="Q45" s="57"/>
      <c r="R45" s="58">
        <v>202100116268220</v>
      </c>
      <c r="S45" s="58"/>
      <c r="T45" s="60" t="s">
        <v>250</v>
      </c>
      <c r="U45" t="s">
        <v>529</v>
      </c>
      <c r="V45" t="str">
        <f t="shared" si="2"/>
        <v>'03/11/2021 - Processo incluido no controle'</v>
      </c>
      <c r="W45" t="str">
        <v>WHEN 43 THEN
'03/11/2021 - Processo incluido no controle'</v>
      </c>
      <c r="X45" t="str">
        <v>WHEN 43 THEN
'DIVERSOS EQUIPAMENTOS CONFORME DI'</v>
      </c>
    </row>
    <row r="46" spans="1:24" ht="53.25" customHeight="1" x14ac:dyDescent="0.25">
      <c r="A46" t="str">
        <f>B46&amp;" - "&amp;COUNTIF($B$3:B46,B46)</f>
        <v>MEGASIL - 3</v>
      </c>
      <c r="B46" s="47" t="s">
        <v>67</v>
      </c>
      <c r="C46" s="45">
        <v>1802261224</v>
      </c>
      <c r="D46" s="46" t="s">
        <v>251</v>
      </c>
      <c r="E46" s="44" t="s">
        <v>252</v>
      </c>
      <c r="F46" s="109" t="s">
        <v>21</v>
      </c>
      <c r="G46" s="110">
        <v>151805001998909</v>
      </c>
      <c r="H46" s="50">
        <f t="shared" si="0"/>
        <v>46000</v>
      </c>
      <c r="I46" s="19">
        <f t="shared" si="1"/>
        <v>46031</v>
      </c>
      <c r="J46" s="51" t="s">
        <v>253</v>
      </c>
      <c r="K46" s="106" t="s">
        <v>71</v>
      </c>
      <c r="L46" s="53">
        <v>46062</v>
      </c>
      <c r="M46" s="54">
        <v>43136</v>
      </c>
      <c r="N46" s="54">
        <v>43140</v>
      </c>
      <c r="O46" s="107" t="s">
        <v>72</v>
      </c>
      <c r="P46" s="56">
        <v>2295964000130</v>
      </c>
      <c r="Q46" s="57" t="s">
        <v>254</v>
      </c>
      <c r="R46" s="58">
        <v>201800018565140</v>
      </c>
      <c r="S46" s="58"/>
      <c r="T46" s="82" t="s">
        <v>255</v>
      </c>
      <c r="U46" t="s">
        <v>529</v>
      </c>
      <c r="V46" t="str">
        <f t="shared" si="2"/>
        <v>'31/01/2022 - Despacho Decisorio' + CHAR(13) + CHAR(10) + 
'24/01/2022 - Juntada efetuada ao DOSSIE e E-CAC' + CHAR(13) + CHAR(10) + 
'24/01/2022 - Docs recebidos' + CHAR(13) + CHAR(10) + 
'11/01/2022 - Solicitado prorrogação por 48 meses (4 anos), aguardando retorno dos documentos' + CHAR(13) + CHAR(10) + 
'13/12/2021 - Cobrado procedimento a ser adotado' + CHAR(13) + CHAR(10) + 
'13/08/2021 - Despacho de encaminhamento' + CHAR(13) + CHAR(10) + 
'22/02/2018 - Recebido Despacho Decisório - Venc. 09/02/2022' + CHAR(13) + CHAR(10) + 
'20/02/2018 - Processo Incluso no controle'</v>
      </c>
      <c r="W46" t="str">
        <v>WHEN 44 THEN
'31/01/2022 - Despacho Decisorio' + CHAR(13) + CHAR(10) + 
'24/01/2022 - Juntada efetuada ao DOSSIE e E-CAC' + CHAR(13) + CHAR(10) + 
'24/01/2022 - Docs recebidos' + CHAR(13) + CHAR(10) + 
'11/01/2022 - Solicitado prorrogação por 48 meses (4 anos), aguardando retorno dos documentos' + CHAR(13) + CHAR(10) + 
'13/12/2021 - Cobrado procedimento a ser adotado' + CHAR(13) + CHAR(10) + 
'13/08/2021 - Despacho de encaminhamento' + CHAR(13) + CHAR(10) + 
'22/02/2018 - Recebido Despacho Decisório - Venc. 09/02/2022' + CHAR(13) + CHAR(10) + 
'20/02/2018 - Processo Incluso no controle'</v>
      </c>
      <c r="X46" t="str">
        <v>WHEN 44 THEN
'DIVERSOS EQUIPAMENTOS CONFORME DI'</v>
      </c>
    </row>
    <row r="47" spans="1:24" ht="53.25" customHeight="1" x14ac:dyDescent="0.25">
      <c r="A47" t="str">
        <f>B47&amp;" - "&amp;COUNTIF($B$3:B47,B47)</f>
        <v>TRANSDATA - 3</v>
      </c>
      <c r="B47" s="44" t="s">
        <v>220</v>
      </c>
      <c r="C47" s="45">
        <v>2418067180</v>
      </c>
      <c r="D47" s="46" t="s">
        <v>256</v>
      </c>
      <c r="E47" s="47" t="s">
        <v>257</v>
      </c>
      <c r="F47" s="48" t="s">
        <v>21</v>
      </c>
      <c r="G47" s="49">
        <v>132405221117348</v>
      </c>
      <c r="H47" s="50">
        <f t="shared" si="0"/>
        <v>46013</v>
      </c>
      <c r="I47" s="19">
        <f t="shared" si="1"/>
        <v>46044</v>
      </c>
      <c r="J47" s="51" t="s">
        <v>258</v>
      </c>
      <c r="K47" s="106" t="s">
        <v>259</v>
      </c>
      <c r="L47" s="53">
        <v>46075</v>
      </c>
      <c r="M47" s="54">
        <v>45526</v>
      </c>
      <c r="N47" s="55">
        <v>45530</v>
      </c>
      <c r="O47" s="107" t="s">
        <v>99</v>
      </c>
      <c r="P47" s="56">
        <v>43053081001334</v>
      </c>
      <c r="Q47" s="57"/>
      <c r="R47" s="58">
        <v>202400249262029</v>
      </c>
      <c r="S47" s="58"/>
      <c r="T47" s="59" t="s">
        <v>260</v>
      </c>
      <c r="U47" t="s">
        <v>529</v>
      </c>
      <c r="V47" t="str">
        <f t="shared" si="2"/>
        <v>'30/09/2024 - Processo incluído no controle'</v>
      </c>
      <c r="W47" t="str">
        <v>WHEN 45 THEN
'30/09/2024 - Processo incluído no controle'</v>
      </c>
      <c r="X47" t="str">
        <v>WHEN 45 THEN
'PARTE DE GUINDASTE, SENDO: MOITÃO EM AÇO DE 600TON, USADO, MARCA: MANITOWOC, MODELO: M18000, NÚMERO DE SÉRIE: 0864160, ANO DE FABRICAÇÃO: 2009'</v>
      </c>
    </row>
    <row r="48" spans="1:24" ht="53.25" customHeight="1" x14ac:dyDescent="0.25">
      <c r="A48" t="str">
        <f>B48&amp;" - "&amp;COUNTIF($B$3:B48,B48)</f>
        <v>BOWLINE - 1</v>
      </c>
      <c r="B48" s="44" t="s">
        <v>261</v>
      </c>
      <c r="C48" s="45">
        <v>2310336557</v>
      </c>
      <c r="D48" s="46" t="s">
        <v>262</v>
      </c>
      <c r="E48" s="47" t="s">
        <v>263</v>
      </c>
      <c r="F48" s="48"/>
      <c r="G48" s="49"/>
      <c r="H48" s="50">
        <f t="shared" si="0"/>
        <v>46032</v>
      </c>
      <c r="I48" s="19">
        <f t="shared" si="1"/>
        <v>46063</v>
      </c>
      <c r="J48" s="51" t="s">
        <v>264</v>
      </c>
      <c r="K48" s="106" t="s">
        <v>265</v>
      </c>
      <c r="L48" s="53">
        <v>46091</v>
      </c>
      <c r="M48" s="54">
        <v>45427</v>
      </c>
      <c r="N48" s="55">
        <v>45434</v>
      </c>
      <c r="O48" s="107" t="s">
        <v>266</v>
      </c>
      <c r="P48" s="56">
        <v>5061157000140</v>
      </c>
      <c r="Q48" s="57"/>
      <c r="R48" s="58">
        <v>202400237510057</v>
      </c>
      <c r="S48" s="58"/>
      <c r="T48" s="59" t="s">
        <v>267</v>
      </c>
      <c r="U48" t="s">
        <v>531</v>
      </c>
      <c r="V48" t="str">
        <f t="shared" si="2"/>
        <v>'25/06/2024 - Processo incluído no controle'</v>
      </c>
      <c r="W48" t="str">
        <v>WHEN 46 THEN
'25/06/2024 - Processo incluído no controle'</v>
      </c>
      <c r="X48" t="str">
        <v>WHEN 46 THEN
'EQUIPAMENTO PARA TESTES DE VIBRACOES EM BERCO MARITIMO DE AMARRACAO DE EMBARCACOES, MARCA: BOLLARDSCAN, COMPOSTO POR UNIDADE DE ROCESSAMENTO DE DADOS, CAMERA DIGITAL, SENSORES, CABEAMENTOS E CONECTORES. COM SOFTWARE INTEGRADO. EQUIPAMENTO SEMIDESMONTADO NAS SEGUINTES PARTES INDENTIFICADAS: BOLLARDSCAN ITENS NR(S): BOLL-LPT 001 / BOLMPAN 001 / BOLL MSOFF 001 / BOLLMPHW 002 / BOLL-ACC 622B01 /BOLL-MAG080A131 / BOLLCAB508BR01AC / BOLL-CCOUP 779680-01 /BOLL- COUPHOU 781425-01 / BOLL- HAM086D20 / BOLLHAMCA
426-2094 / BOLL-DIGICAM. SERIAL NR(S): LAPTOP: CF53-SBWHDCA / DONGLE: 1645072556 / ACELEROMETROS: LW 067391 (R); LW 063161 (Y) E LW 067402 (B) / CABO DO ACOPLADOR: 1EDCDF1 / ACOPLADOR: 1EEC665 / HAMMER SN 47723 / PONTAS: NONE / CABO: NONE / CABO: NONE / CAMERA: VIVICAM090/ USADO / ANO DE FABRICAÇÃO: 2021.'</v>
      </c>
    </row>
    <row r="49" spans="1:24" ht="53.25" customHeight="1" x14ac:dyDescent="0.25">
      <c r="A49" t="str">
        <f>B49&amp;" - "&amp;COUNTIF($B$3:B49,B49)</f>
        <v>MEGASIL - 4</v>
      </c>
      <c r="B49" s="44" t="s">
        <v>67</v>
      </c>
      <c r="C49" s="45">
        <v>2225695775</v>
      </c>
      <c r="D49" s="46" t="s">
        <v>268</v>
      </c>
      <c r="E49" s="47" t="s">
        <v>269</v>
      </c>
      <c r="F49" s="48" t="s">
        <v>21</v>
      </c>
      <c r="G49" s="49">
        <v>152205303647231</v>
      </c>
      <c r="H49" s="74">
        <f t="shared" si="0"/>
        <v>46323</v>
      </c>
      <c r="I49" s="19">
        <f t="shared" si="1"/>
        <v>46354</v>
      </c>
      <c r="J49" s="51" t="s">
        <v>270</v>
      </c>
      <c r="K49" s="106" t="s">
        <v>71</v>
      </c>
      <c r="L49" s="68">
        <v>46384</v>
      </c>
      <c r="M49" s="54">
        <v>44922</v>
      </c>
      <c r="N49" s="55">
        <v>44925</v>
      </c>
      <c r="O49" s="108" t="s">
        <v>237</v>
      </c>
      <c r="P49" s="70">
        <v>2295964000130</v>
      </c>
      <c r="Q49" s="75"/>
      <c r="R49" s="76">
        <v>202200177701960</v>
      </c>
      <c r="S49" s="76"/>
      <c r="T49" s="59" t="s">
        <v>271</v>
      </c>
      <c r="U49" t="s">
        <v>529</v>
      </c>
      <c r="V49" t="str">
        <f t="shared" si="2"/>
        <v>'06/10/2023 - Processo incluido no controle'</v>
      </c>
      <c r="W49" t="str">
        <v>WHEN 47 THEN
'06/10/2023 - Processo incluido no controle'</v>
      </c>
      <c r="X49" t="str">
        <v>WHEN 47 THEN
'DIVERSOS EQUIPAMENTOS CONFORME DI'</v>
      </c>
    </row>
    <row r="50" spans="1:24" ht="53.25" customHeight="1" x14ac:dyDescent="0.25">
      <c r="A50" t="str">
        <f>B50&amp;" - "&amp;COUNTIF($B$3:B50,B50)</f>
        <v>MEGASIL - 5</v>
      </c>
      <c r="B50" s="44" t="s">
        <v>67</v>
      </c>
      <c r="C50" s="45">
        <v>2300245000</v>
      </c>
      <c r="D50" s="46" t="s">
        <v>272</v>
      </c>
      <c r="E50" s="47" t="s">
        <v>273</v>
      </c>
      <c r="F50" s="48" t="s">
        <v>21</v>
      </c>
      <c r="G50" s="49">
        <v>152205303646693</v>
      </c>
      <c r="H50" s="74">
        <f t="shared" si="0"/>
        <v>46327</v>
      </c>
      <c r="I50" s="19">
        <f t="shared" si="1"/>
        <v>46357</v>
      </c>
      <c r="J50" s="51" t="s">
        <v>274</v>
      </c>
      <c r="K50" s="111" t="s">
        <v>275</v>
      </c>
      <c r="L50" s="68">
        <v>46388</v>
      </c>
      <c r="M50" s="54">
        <v>44930</v>
      </c>
      <c r="N50" s="55">
        <v>44935</v>
      </c>
      <c r="O50" s="108" t="s">
        <v>237</v>
      </c>
      <c r="P50" s="70">
        <v>2295964000130</v>
      </c>
      <c r="Q50" s="75"/>
      <c r="R50" s="76">
        <v>202300178529346</v>
      </c>
      <c r="S50" s="76"/>
      <c r="T50" s="59" t="s">
        <v>271</v>
      </c>
      <c r="U50" t="s">
        <v>529</v>
      </c>
      <c r="V50" t="str">
        <f t="shared" si="2"/>
        <v>'06/10/2023 - Processo incluido no controle'</v>
      </c>
      <c r="W50" t="str">
        <v>WHEN 48 THEN
'06/10/2023 - Processo incluido no controle'</v>
      </c>
      <c r="X50" t="str">
        <v>WHEN 48 THEN
'FORRAGEIRA AUTOPROPELIDA PARA SILAGEM COM POTÊNCIA DE 408CV/300 KW , CILINDRADA 11.900 CM3, MARCA DEUTZFAHR,
MODELO GIGANT 400, NÚMERO DE SÉRIE 65-05-000117, USADA - ANO DE FABRICAÇÃO 1997.'</v>
      </c>
    </row>
    <row r="51" spans="1:24" ht="53.25" customHeight="1" x14ac:dyDescent="0.25">
      <c r="A51" t="str">
        <f>B51&amp;" - "&amp;COUNTIF($B$3:B51,B51)</f>
        <v>MEGASIL - 6</v>
      </c>
      <c r="B51" s="47" t="s">
        <v>67</v>
      </c>
      <c r="C51" s="45">
        <v>1102552358</v>
      </c>
      <c r="D51" s="94" t="s">
        <v>276</v>
      </c>
      <c r="E51" s="47" t="s">
        <v>277</v>
      </c>
      <c r="F51" s="48"/>
      <c r="G51" s="95"/>
      <c r="H51" s="50">
        <f t="shared" si="0"/>
        <v>46546</v>
      </c>
      <c r="I51" s="19">
        <f t="shared" si="1"/>
        <v>46576</v>
      </c>
      <c r="J51" s="51" t="s">
        <v>278</v>
      </c>
      <c r="K51" s="112" t="s">
        <v>279</v>
      </c>
      <c r="L51" s="53">
        <v>46607</v>
      </c>
      <c r="M51" s="54">
        <v>40583</v>
      </c>
      <c r="N51" s="54">
        <v>40588</v>
      </c>
      <c r="O51" s="113" t="s">
        <v>280</v>
      </c>
      <c r="P51" s="56">
        <v>2295964000130</v>
      </c>
      <c r="Q51" s="57" t="s">
        <v>281</v>
      </c>
      <c r="R51" s="58"/>
      <c r="S51" s="58"/>
      <c r="T51" s="59" t="s">
        <v>282</v>
      </c>
      <c r="U51" t="s">
        <v>530</v>
      </c>
      <c r="V51" t="str">
        <f t="shared" si="2"/>
        <v>'03/04/2023 - Despacho Decisorio' + CHAR(13) + CHAR(10) + 
'29/03/2023 - Juntada efetuada no E-CAC' + CHAR(13) + CHAR(10) + 
'07/03/2023 - Documentação recebida' + CHAR(13) + CHAR(10) + 
'02/03/2023 - Informado que sera prorrogado por 52 meses, ag documentos, numerario revisado enviado' + CHAR(13) + CHAR(10) + 
'10/02/2023 - Informado que será prorrogado por 40 meses, numerario enviado, ag retorno' + CHAR(13) + CHAR(10) + 
'08/02/2023 - Cobrado procedimento a ser adotado' + CHAR(13) + CHAR(10) + 
'15/03/2021 - Despacho' + CHAR(13) + CHAR(10) + 
'10/03/2021 - Juntada feita pelo E-CAC' + CHAR(13) + CHAR(10) + 
'17/02/2021 - Solicitado prorrogação por mais 24 meses, enviado Numerario, ag docs' + CHAR(13) + CHAR(10) + 
'08/02/2021 - Cobrado procedimento a ser adotado' + CHAR(13) + CHAR(10) + 
'08/08/2019 - Nova Concessão de Adm. Temporária_Venc. 08/04/2021.' + CHAR(13) + CHAR(10) + 
'06/06/2019 - Processo de admissão temporaria em andamento.' + CHAR(13) + CHAR(10) + 
'01/04/2019 - recebido copia da documentação para uma nova admissão temporaria.' + CHAR(13) + CHAR(10) + 
'18/01/2019 - COMUNICADO - CIÊNCIA ELETRÔNICA POR DECURSO DE PRAZO.' + CHAR(13) + CHAR(10) + 
'27/12/2018 - Processo deferido. Venc 14/05/2019 - PROCESSO JÁ ATINGIU OS 100 MESES.' + CHAR(13) + CHAR(10) + 
'26/12/2018- 6ª Prorrogação enviada para o faturamento' + CHAR(13) + CHAR(10) + 
'21/12/2018 - Juntada Aceita.' + CHAR(13) + CHAR(10) + 
'20/12/2018 - Enviado pelo e-CAC o pedido de prorrogação.' + CHAR(13) + CHAR(10) + 
'17/12/2018 - Recebido o 6º aditivo e contrato de prestação original.' + CHAR(13) + CHAR(10) + 
'29/11/2018 - Enviada solicitação de numerario, aguardando documentação para prosseguir com a prorrogação por 4 meses.' + CHAR(13) + CHAR(10) + 
'23/11/2018 - Informado que pode ser prorrogado por 4 meses, aguardando documentação para prosseguir com a pororrogação.' + CHAR(13) + CHAR(10) + 
'22/11/2018 - Cobrado qual procedimento será adotado.' + CHAR(13) + CHAR(10) + 
'14/11/2018 - Cobrado qual procedimento será adotado.' + CHAR(13) + CHAR(10) + 
'26/12/2017 - Deferido pedido de Prorrogação - Venc.14/01/2019                                                     22/12/2017 - Recebido Aceite da Juntada - Ag. Analise da RFB' + CHAR(13) + CHAR(10) + 
'22/12/2017 - Protocolado Pedido de Prorrogação - Ag. Aceite da Juntada' + CHAR(13) + CHAR(10) + 
'25/02/16 - Recebido protocolo do pleito e deferimento' + CHAR(13) + CHAR(10) + 
'22/01 - Protocolado pedido de prorrogação' + CHAR(13) + CHAR(10) + 
'02/09 - Despacho decisório recebido' + CHAR(13) + CHAR(10) + 
'22/01/2014 - Protocolado pedido de prorrogação, aguardando analise / deferimento do pedido;' + CHAR(13) + CHAR(10) + 
'04/02- Despacho decisório recebido' + CHAR(13) + CHAR(10) + 
'23/01/2014 - Protocolado pedido de prorrogação, aguardando analise / deferimento do pedido;' + CHAR(13) + CHAR(10) + 
'13/02 - Deferido pedido de prorrogação;' + CHAR(13) + CHAR(10) + 
'19/01 - Protocolado pedido de prorrogação, aguardando analise / deferimento do pedido;' + CHAR(13) + CHAR(10) + 
'18/01 - Enviado pedido prorrogação ao EADI Santo André (Trovão);' + CHAR(13) + CHAR(10) + 
'12/01 - Recebemos aditivo contratual, providenciando envio do pedido de prorrogação à Inspetoria;' + CHAR(13) + CHAR(10) + 
'05/01 - Confirmada a remessa de numerario, providenciando pagamento dos DARF's;' + CHAR(13) + CHAR(10) + 
'27/12 - Enviada solicitação de numerario;' + CHAR(13) + CHAR(10) + 
'15/11 - Confirmada prorrogação por 12 meses, providenciando calculo do processo;' + CHAR(13) + CHAR(10) + 
'04/11 - Questionado a MEGASIL quanto ao procedimento a ser adotado para o processo;' + CHAR(13) + CHAR(10) + 
'05/04/2011 - Prazo correto Concedido pela RFB  até 13/02/2012' + CHAR(13) + CHAR(10) + 
'15/03/2011 - Prazo da Admissão concedido pela RFB  menor que o do Contrato  , estamos verificando como reverter junto a RFB de Santo Andre ' + CHAR(13) + CHAR(10) + 
'09/02/2011 - DI registrada, aguardando desembaraço'</v>
      </c>
      <c r="W51" t="str">
        <v>WHEN 49 THEN
'03/04/2023 - Despacho Decisorio' + CHAR(13) + CHAR(10) + 
'29/03/2023 - Juntada efetuada no E-CAC' + CHAR(13) + CHAR(10) + 
'07/03/2023 - Documentação recebida' + CHAR(13) + CHAR(10) + 
'02/03/2023 - Informado que sera prorrogado por 52 meses, ag documentos, numerario revisado enviado' + CHAR(13) + CHAR(10) + 
'10/02/2023 - Informado que será prorrogado por 40 meses, numerario enviado, ag retorno' + CHAR(13) + CHAR(10) + 
'08/02/2023 - Cobrado procedimento a ser adotado' + CHAR(13) + CHAR(10) + 
'15/03/2021 - Despacho' + CHAR(13) + CHAR(10) + 
'10/03/2021 - Juntada feita pelo E-CAC' + CHAR(13) + CHAR(10) + 
'17/02/2021 - Solicitado prorrogação por mais 24 meses, enviado Numerario, ag docs' + CHAR(13) + CHAR(10) + 
'08/02/2021 - Cobrado procedimento a ser adotado' + CHAR(13) + CHAR(10) + 
'08/08/2019 - Nova Concessão de Adm. Temporária_Venc. 08/04/2021.' + CHAR(13) + CHAR(10) + 
'06/06/2019 - Processo de admissão temporaria em andamento.' + CHAR(13) + CHAR(10) + 
'01/04/2019 - recebido copia da documentação para uma nova admissão temporaria.' + CHAR(13) + CHAR(10) + 
'18/01/2019 - COMUNICADO - CIÊNCIA ELETRÔNICA POR DECURSO DE PRAZO.' + CHAR(13) + CHAR(10) + 
'27/12/2018 - Processo deferido. Venc 14/05/2019 - PROCESSO JÁ ATINGIU OS 100 MESES.' + CHAR(13) + CHAR(10) + 
'26/12/2018- 6ª Prorrogação enviada para o faturamento' + CHAR(13) + CHAR(10) + 
'21/12/2018 - Juntada Aceita.' + CHAR(13) + CHAR(10) + 
'20/12/2018 - Enviado pelo e-CAC o pedido de prorrogação.' + CHAR(13) + CHAR(10) + 
'17/12/2018 - Recebido o 6º aditivo e contrato de prestação original.' + CHAR(13) + CHAR(10) + 
'29/11/2018 - Enviada solicitação de numerario, aguardando documentação para prosseguir com a prorrogação por 4 meses.' + CHAR(13) + CHAR(10) + 
'23/11/2018 - Informado que pode ser prorrogado por 4 meses, aguardando documentação para prosseguir com a pororrogação.' + CHAR(13) + CHAR(10) + 
'22/11/2018 - Cobrado qual procedimento será adotado.' + CHAR(13) + CHAR(10) + 
'14/11/2018 - Cobrado qual procedimento será adotado.' + CHAR(13) + CHAR(10) + 
'26/12/2017 - Deferido pedido de Prorrogação - Venc.14/01/2019                                                     22/12/2017 - Recebido Aceite da Juntada - Ag. Analise da RFB' + CHAR(13) + CHAR(10) + 
'22/12/2017 - Protocolado Pedido de Prorrogação - Ag. Aceite da Juntada' + CHAR(13) + CHAR(10) + 
'25/02/16 - Recebido protocolo do pleito e deferimento' + CHAR(13) + CHAR(10) + 
'22/01 - Protocolado pedido de prorrogação' + CHAR(13) + CHAR(10) + 
'02/09 - Despacho decisório recebido' + CHAR(13) + CHAR(10) + 
'22/01/2014 - Protocolado pedido de prorrogação, aguardando analise / deferimento do pedido;' + CHAR(13) + CHAR(10) + 
'04/02- Despacho decisório recebido' + CHAR(13) + CHAR(10) + 
'23/01/2014 - Protocolado pedido de prorrogação, aguardando analise / deferimento do pedido;' + CHAR(13) + CHAR(10) + 
'13/02 - Deferido pedido de prorrogação;' + CHAR(13) + CHAR(10) + 
'19/01 - Protocolado pedido de prorrogação, aguardando analise / deferimento do pedido;' + CHAR(13) + CHAR(10) + 
'18/01 - Enviado pedido prorrogação ao EADI Santo André (Trovão);' + CHAR(13) + CHAR(10) + 
'12/01 - Recebemos aditivo contratual, providenciando envio do pedido de prorrogação à Inspetoria;' + CHAR(13) + CHAR(10) + 
'05/01 - Confirmada a remessa de numerario, providenciando pagamento dos DARF's;' + CHAR(13) + CHAR(10) + 
'27/12 - Enviada solicitação de numerario;' + CHAR(13) + CHAR(10) + 
'15/11 - Confirmada prorrogação por 12 meses, providenciando calculo do processo;' + CHAR(13) + CHAR(10) + 
'04/11 - Questionado a MEGASIL quanto ao procedimento a ser adotado para o processo;' + CHAR(13) + CHAR(10) + 
'05/04/2011 - Prazo correto Concedido pela RFB  até 13/02/2012' + CHAR(13) + CHAR(10) + 
'15/03/2011 - Prazo da Admissão concedido pela RFB  menor que o do Contrato  , estamos verificando como reverter junto a RFB de Santo Andre ' + CHAR(13) + CHAR(10) + 
'09/02/2011 - DI registrada, aguardando desembaraço'</v>
      </c>
      <c r="X51" t="str">
        <v>WHEN 49 THEN
'COLHEITADEIRA AUTOPROPELIDA PARA CEREAIS E FORRAGENS, USADA, MARCA: DEUTZ-FAHR
MODELO: GIGANT 400, N" DE SÉRIE: 65-05-000146, FABRICADA EM 1998.'</v>
      </c>
    </row>
    <row r="52" spans="1:24" ht="53.25" customHeight="1" x14ac:dyDescent="0.25">
      <c r="A52" t="str">
        <f>B52&amp;" - "&amp;COUNTIF($B$3:B52,B52)</f>
        <v>MEGASIL - 7</v>
      </c>
      <c r="B52" s="47" t="s">
        <v>67</v>
      </c>
      <c r="C52" s="45">
        <v>1102548903</v>
      </c>
      <c r="D52" s="94" t="s">
        <v>283</v>
      </c>
      <c r="E52" s="47" t="s">
        <v>284</v>
      </c>
      <c r="F52" s="48"/>
      <c r="G52" s="95"/>
      <c r="H52" s="50">
        <f t="shared" si="0"/>
        <v>46546</v>
      </c>
      <c r="I52" s="19">
        <f t="shared" si="1"/>
        <v>46576</v>
      </c>
      <c r="J52" s="51" t="s">
        <v>285</v>
      </c>
      <c r="K52" s="112" t="s">
        <v>286</v>
      </c>
      <c r="L52" s="53">
        <v>46607</v>
      </c>
      <c r="M52" s="54">
        <v>40583</v>
      </c>
      <c r="N52" s="54">
        <v>40588</v>
      </c>
      <c r="O52" s="113" t="s">
        <v>280</v>
      </c>
      <c r="P52" s="56">
        <v>2295964000130</v>
      </c>
      <c r="Q52" s="57" t="s">
        <v>287</v>
      </c>
      <c r="R52" s="58"/>
      <c r="S52" s="58"/>
      <c r="T52" s="59" t="s">
        <v>288</v>
      </c>
      <c r="U52" t="s">
        <v>530</v>
      </c>
      <c r="V52" t="str">
        <f t="shared" si="2"/>
        <v>'25/04/2023 - Despacho Decisorio' + CHAR(13) + CHAR(10) + 
'14/04/2023 - Resposta a intimação' + CHAR(13) + CHAR(10) + 
'11/04/2023 - Intimação' + CHAR(13) + CHAR(10) + 
'28/03/2023 - Juntada efetuada pelo E-CAC' + CHAR(13) + CHAR(10) + 
'07/03/2023 - Recebido documentos' + CHAR(13) + CHAR(10) + 
'02/03/2023 - Informado que sera prorrogado por 52 meses, ag documentos, numerario revisado enviado' + CHAR(13) + CHAR(10) + 
'10/02/2023 - Informado que será prorrogado por 40 meses, numerario enviado, ag retorno' + CHAR(13) + CHAR(10) + 
'08/02/2023 - Cobrado procedimento a ser adotado' + CHAR(13) + CHAR(10) + 
'15/03/2021 - Despacho Decisorio' + CHAR(13) + CHAR(10) + 
'10/03/2021 - Juntada efetuada no E-CAC' + CHAR(13) + CHAR(10) + 
'17/02/2021 - Solicitado prorrogação por mais 24 meses, enviado Numerario, ag docs' + CHAR(13) + CHAR(10) + 
'08/02/2021 - Cobrado Procedimento a ser adotado' + CHAR(13) + CHAR(10) + 
'08/08/2019 - Nova Concessão de Adm. Temporária_Venc. 08/04/2021.' + CHAR(13) + CHAR(10) + 
'06/06/2019 - Processo de admissão temporaria em andamento.' + CHAR(13) + CHAR(10) + 
'01/04/2019 - recebido copia da documentação para uma nova admissão temporaria.' + CHAR(13) + CHAR(10) + 
'27/12/2018 - Processo deferido. Venc 14/05/2019. PROCESSO JÁ ATINGIU OS 100 MESES.' + CHAR(13) + CHAR(10) + 
'26/12/2018- 6ª Prorrogação enviada para o faturamento' + CHAR(13) + CHAR(10) + 
'20/12/2018 - Juntada aceita.' + CHAR(13) + CHAR(10) + 
'20/12/2018 - Enviado pelo e-CAC o pedido de prorrogação.' + CHAR(13) + CHAR(10) + 
'17/12/2018 - Recebido o 6º aditivo e contrato de prestação original.' + CHAR(13) + CHAR(10) + 
'29/11/2018 - Enviada solicitação de numerario, aguardando documentação para prosseguir com a prorrogação por 4 meses.' + CHAR(13) + CHAR(10) + 
'23/11/2018 - Informado que pode ser prorrogado por 4 meses, aguardando documentação para prosseguir com a pororrogação.' + CHAR(13) + CHAR(10) + 
'22/11/2018 - Cobrado qual procedimento será adotado.' + CHAR(13) + CHAR(10) + 
'14/11/2018 - Cobrado qual procedimento será adotado. Recebido os modelos de contrato.' + CHAR(13) + CHAR(10) + 
'26/12/2017 - Deferido pedido de Prorrogação - Venc.14/01/2019                                                   22/12/2017 - Recebido Aceite da Juntada - Ag. Analise da RFB' + CHAR(13) + CHAR(10) + 
'22/12/2017 - Protocolado Pedido de Prorrogação - Ag. Aceite da Juntada' + CHAR(13) + CHAR(10) + 
'25/02/16 - Despacho decisório recebido' + CHAR(13) + CHAR(10) + 
'11/02/2016 - Recebido descho decisório de deferimento pleito prorrogação' + CHAR(13) + CHAR(10) + 
'12/01/2016 - Protocolado pedido de prorrogação' + CHAR(13) + CHAR(10) + 
'11/09 - Despacho decisório recebido' + CHAR(13) + CHAR(10) + 
'05/02/2014 - Protocolado pedido de prorrogação, aguardando analise / deferimento do pedido;' + CHAR(13) + CHAR(10) + 
'13/02 - Deferido pedido de prorrogação;' + CHAR(13) + CHAR(10) + 
'19/01 - Protocolado pedido de prorrogação, aguardando analise / deferimento do pedido;' + CHAR(13) + CHAR(10) + 
'18/01 - Enviado pedido prorrogação ao EADI Santo André (Trovão);' + CHAR(13) + CHAR(10) + 
'12/01 - Recebemos aditivo contratual, providenciando envio do pedido de prorrogação à Inspetoria;' + CHAR(13) + CHAR(10) + 
'05/01 - Confirmada a remessa de numerario, providenciando pagamento dos DARF's;' + CHAR(13) + CHAR(10) + 
'27/12 - Enviada solicitação de numerario;' + CHAR(13) + CHAR(10) + 
'15/11 - Confirmada prorrogação por 12 meses, providenciando calculo do processo;' + CHAR(13) + CHAR(10) + 
'04/11 - Questionado a MEGASIL quanto ao procedimento a ser adotado para o processo;' + CHAR(13) + CHAR(10) + 
'05/04/2011 - Prazo correto Concedido pela RFB  até 13/02/2012' + CHAR(13) + CHAR(10) + 
'15/03/2011 - Prazo da Admissão concedido pela RFB  menor que o do Contrato  , estamos verificando como reverter junto a RFB de Santo Andre ' + CHAR(13) + CHAR(10) + 
'09/02/2011 - DI registrada, aguardando desembaraço' + CHAR(13) + CHAR(10) + 
''</v>
      </c>
      <c r="W52" t="str">
        <v>WHEN 50 THEN
'25/04/2023 - Despacho Decisorio' + CHAR(13) + CHAR(10) + 
'14/04/2023 - Resposta a intimação' + CHAR(13) + CHAR(10) + 
'11/04/2023 - Intimação' + CHAR(13) + CHAR(10) + 
'28/03/2023 - Juntada efetuada pelo E-CAC' + CHAR(13) + CHAR(10) + 
'07/03/2023 - Recebido documentos' + CHAR(13) + CHAR(10) + 
'02/03/2023 - Informado que sera prorrogado por 52 meses, ag documentos, numerario revisado enviado' + CHAR(13) + CHAR(10) + 
'10/02/2023 - Informado que será prorrogado por 40 meses, numerario enviado, ag retorno' + CHAR(13) + CHAR(10) + 
'08/02/2023 - Cobrado procedimento a ser adotado' + CHAR(13) + CHAR(10) + 
'15/03/2021 - Despacho Decisorio' + CHAR(13) + CHAR(10) + 
'10/03/2021 - Juntada efetuada no E-CAC' + CHAR(13) + CHAR(10) + 
'17/02/2021 - Solicitado prorrogação por mais 24 meses, enviado Numerario, ag docs' + CHAR(13) + CHAR(10) + 
'08/02/2021 - Cobrado Procedimento a ser adotado' + CHAR(13) + CHAR(10) + 
'08/08/2019 - Nova Concessão de Adm. Temporária_Venc. 08/04/2021.' + CHAR(13) + CHAR(10) + 
'06/06/2019 - Processo de admissão temporaria em andamento.' + CHAR(13) + CHAR(10) + 
'01/04/2019 - recebido copia da documentação para uma nova admissão temporaria.' + CHAR(13) + CHAR(10) + 
'27/12/2018 - Processo deferido. Venc 14/05/2019. PROCESSO JÁ ATINGIU OS 100 MESES.' + CHAR(13) + CHAR(10) + 
'26/12/2018- 6ª Prorrogação enviada para o faturamento' + CHAR(13) + CHAR(10) + 
'20/12/2018 - Juntada aceita.' + CHAR(13) + CHAR(10) + 
'20/12/2018 - Enviado pelo e-CAC o pedido de prorrogação.' + CHAR(13) + CHAR(10) + 
'17/12/2018 - Recebido o 6º aditivo e contrato de prestação original.' + CHAR(13) + CHAR(10) + 
'29/11/2018 - Enviada solicitação de numerario, aguardando documentação para prosseguir com a prorrogação por 4 meses.' + CHAR(13) + CHAR(10) + 
'23/11/2018 - Informado que pode ser prorrogado por 4 meses, aguardando documentação para prosseguir com a pororrogação.' + CHAR(13) + CHAR(10) + 
'22/11/2018 - Cobrado qual procedimento será adotado.' + CHAR(13) + CHAR(10) + 
'14/11/2018 - Cobrado qual procedimento será adotado. Recebido os modelos de contrato.' + CHAR(13) + CHAR(10) + 
'26/12/2017 - Deferido pedido de Prorrogação - Venc.14/01/2019                                                   22/12/2017 - Recebido Aceite da Juntada - Ag. Analise da RFB' + CHAR(13) + CHAR(10) + 
'22/12/2017 - Protocolado Pedido de Prorrogação - Ag. Aceite da Juntada' + CHAR(13) + CHAR(10) + 
'25/02/16 - Despacho decisório recebido' + CHAR(13) + CHAR(10) + 
'11/02/2016 - Recebido descho decisório de deferimento pleito prorrogação' + CHAR(13) + CHAR(10) + 
'12/01/2016 - Protocolado pedido de prorrogação' + CHAR(13) + CHAR(10) + 
'11/09 - Despacho decisório recebido' + CHAR(13) + CHAR(10) + 
'05/02/2014 - Protocolado pedido de prorrogação, aguardando analise / deferimento do pedido;' + CHAR(13) + CHAR(10) + 
'13/02 - Deferido pedido de prorrogação;' + CHAR(13) + CHAR(10) + 
'19/01 - Protocolado pedido de prorrogação, aguardando analise / deferimento do pedido;' + CHAR(13) + CHAR(10) + 
'18/01 - Enviado pedido prorrogação ao EADI Santo André (Trovão);' + CHAR(13) + CHAR(10) + 
'12/01 - Recebemos aditivo contratual, providenciando envio do pedido de prorrogação à Inspetoria;' + CHAR(13) + CHAR(10) + 
'05/01 - Confirmada a remessa de numerario, providenciando pagamento dos DARF's;' + CHAR(13) + CHAR(10) + 
'27/12 - Enviada solicitação de numerario;' + CHAR(13) + CHAR(10) + 
'15/11 - Confirmada prorrogação por 12 meses, providenciando calculo do processo;' + CHAR(13) + CHAR(10) + 
'04/11 - Questionado a MEGASIL quanto ao procedimento a ser adotado para o processo;' + CHAR(13) + CHAR(10) + 
'05/04/2011 - Prazo correto Concedido pela RFB  até 13/02/2012' + CHAR(13) + CHAR(10) + 
'15/03/2011 - Prazo da Admissão concedido pela RFB  menor que o do Contrato  , estamos verificando como reverter junto a RFB de Santo Andre ' + CHAR(13) + CHAR(10) + 
'09/02/2011 - DI registrada, aguardando desembaraço' + CHAR(13) + CHAR(10) + 
''</v>
      </c>
      <c r="X52" t="str">
        <v>WHEN 50 THEN
'COLHEITADEIRA AUTOPROPELIDA PARA CEREAIS E FORRAGENS, USADA, MARCA: DEUTZ-FAHR MODELO: GIGANT 400, N" DE SÉRIE: 65-05-000074, FABRICADA EM 1996.'</v>
      </c>
    </row>
    <row r="53" spans="1:24" ht="53.25" customHeight="1" x14ac:dyDescent="0.25">
      <c r="A53" t="str">
        <f>B53&amp;" - "&amp;COUNTIF($B$3:B53,B53)</f>
        <v>MEGASIL - 8</v>
      </c>
      <c r="B53" s="44" t="s">
        <v>67</v>
      </c>
      <c r="C53" s="45">
        <v>1919661001</v>
      </c>
      <c r="D53" s="46" t="s">
        <v>289</v>
      </c>
      <c r="E53" s="44" t="s">
        <v>290</v>
      </c>
      <c r="F53" s="48" t="s">
        <v>55</v>
      </c>
      <c r="G53" s="49">
        <v>151905198851634</v>
      </c>
      <c r="H53" s="50">
        <f t="shared" si="0"/>
        <v>46655</v>
      </c>
      <c r="I53" s="19">
        <f t="shared" si="1"/>
        <v>46685</v>
      </c>
      <c r="J53" s="51" t="s">
        <v>291</v>
      </c>
      <c r="K53" s="106" t="s">
        <v>71</v>
      </c>
      <c r="L53" s="53">
        <v>46716</v>
      </c>
      <c r="M53" s="54">
        <v>43761</v>
      </c>
      <c r="N53" s="55">
        <v>43763</v>
      </c>
      <c r="O53" s="107" t="s">
        <v>72</v>
      </c>
      <c r="P53" s="56">
        <v>2295964000130</v>
      </c>
      <c r="Q53" s="57" t="s">
        <v>292</v>
      </c>
      <c r="R53" s="58">
        <v>201900055854940</v>
      </c>
      <c r="S53" s="58"/>
      <c r="T53" s="60" t="s">
        <v>293</v>
      </c>
      <c r="U53" t="s">
        <v>529</v>
      </c>
      <c r="V53" t="str">
        <f t="shared" si="2"/>
        <v>'28/11/2023 - Despacho Decisorio' + CHAR(13) + CHAR(10) + 
'14/11/2023 - Juntada efetuada' + CHAR(13) + CHAR(10) + 
'03/10/2023 - Docs recebidos' + CHAR(13) + CHAR(10) + 
'02/10/2023 - Enviado Nunerario e RPR, ag retorno' + CHAR(13) + CHAR(10) + 
'29/09/2023 - Cobrado procedimento a ser adotado, informado que será prorrogado por mais 48 meses' + CHAR(13) + CHAR(10) + 
'13/08/2021 - Despacho de Encaminhamento' + CHAR(13) + CHAR(10) + 
'25/11/2019 - Despacho de Encaminhamento' + CHAR(13) + CHAR(10) + 
'12/11/2019 - Processo incluido no controle'</v>
      </c>
      <c r="W53" t="str">
        <v>WHEN 51 THEN
'28/11/2023 - Despacho Decisorio' + CHAR(13) + CHAR(10) + 
'14/11/2023 - Juntada efetuada' + CHAR(13) + CHAR(10) + 
'03/10/2023 - Docs recebidos' + CHAR(13) + CHAR(10) + 
'02/10/2023 - Enviado Nunerario e RPR, ag retorno' + CHAR(13) + CHAR(10) + 
'29/09/2023 - Cobrado procedimento a ser adotado, informado que será prorrogado por mais 48 meses' + CHAR(13) + CHAR(10) + 
'13/08/2021 - Despacho de Encaminhamento' + CHAR(13) + CHAR(10) + 
'25/11/2019 - Despacho de Encaminhamento' + CHAR(13) + CHAR(10) + 
'12/11/2019 - Processo incluido no controle'</v>
      </c>
      <c r="X53" t="str">
        <v>WHEN 51 THEN
'DIVERSOS EQUIPAMENTOS CONFORME DI'</v>
      </c>
    </row>
    <row r="54" spans="1:24" ht="53.25" customHeight="1" x14ac:dyDescent="0.25">
      <c r="A54" t="str">
        <f>B54&amp;" - "&amp;COUNTIF($B$3:B54,B54)</f>
        <v>MEGASIL - 9</v>
      </c>
      <c r="B54" s="44" t="s">
        <v>67</v>
      </c>
      <c r="C54" s="45">
        <v>2323396780</v>
      </c>
      <c r="D54" s="46" t="s">
        <v>294</v>
      </c>
      <c r="E54" s="44" t="s">
        <v>295</v>
      </c>
      <c r="F54" s="48" t="s">
        <v>21</v>
      </c>
      <c r="G54" s="49">
        <v>152305262872308</v>
      </c>
      <c r="H54" s="50">
        <f t="shared" si="0"/>
        <v>46657</v>
      </c>
      <c r="I54" s="19">
        <f t="shared" si="1"/>
        <v>46687</v>
      </c>
      <c r="J54" s="51" t="s">
        <v>296</v>
      </c>
      <c r="K54" s="106" t="s">
        <v>71</v>
      </c>
      <c r="L54" s="53">
        <v>46718</v>
      </c>
      <c r="M54" s="54">
        <v>45258</v>
      </c>
      <c r="N54" s="55">
        <v>45259</v>
      </c>
      <c r="O54" s="107" t="s">
        <v>237</v>
      </c>
      <c r="P54" s="56">
        <v>2295964000130</v>
      </c>
      <c r="Q54" s="57"/>
      <c r="R54" s="58">
        <v>202300217735169</v>
      </c>
      <c r="S54" s="58"/>
      <c r="T54" s="59" t="s">
        <v>297</v>
      </c>
      <c r="U54" t="s">
        <v>529</v>
      </c>
      <c r="V54" t="str">
        <f t="shared" si="2"/>
        <v>'25/03/2024 - Processo incluído no controle'</v>
      </c>
      <c r="W54" t="str">
        <v>WHEN 52 THEN
'25/03/2024 - Processo incluído no controle'</v>
      </c>
      <c r="X54" t="str">
        <v>WHEN 52 THEN
'DIVERSOS EQUIPAMENTOS CONFORME DI'</v>
      </c>
    </row>
    <row r="55" spans="1:24" ht="53.25" customHeight="1" x14ac:dyDescent="0.25">
      <c r="A55" t="str">
        <f>B55&amp;" - "&amp;COUNTIF($B$3:B55,B55)</f>
        <v>MEGASIL - 10</v>
      </c>
      <c r="B55" s="44" t="s">
        <v>67</v>
      </c>
      <c r="C55" s="45">
        <v>2323376321</v>
      </c>
      <c r="D55" s="46" t="s">
        <v>298</v>
      </c>
      <c r="E55" s="44" t="s">
        <v>299</v>
      </c>
      <c r="F55" s="48" t="s">
        <v>21</v>
      </c>
      <c r="G55" s="49">
        <v>152305251570810</v>
      </c>
      <c r="H55" s="50">
        <f t="shared" si="0"/>
        <v>46661</v>
      </c>
      <c r="I55" s="19">
        <f t="shared" si="1"/>
        <v>46692</v>
      </c>
      <c r="J55" s="51" t="s">
        <v>300</v>
      </c>
      <c r="K55" s="106" t="s">
        <v>71</v>
      </c>
      <c r="L55" s="53">
        <v>46722</v>
      </c>
      <c r="M55" s="54">
        <v>44953</v>
      </c>
      <c r="N55" s="55">
        <v>45261</v>
      </c>
      <c r="O55" s="107" t="s">
        <v>237</v>
      </c>
      <c r="P55" s="56">
        <v>2295964000130</v>
      </c>
      <c r="Q55" s="57"/>
      <c r="R55" s="58">
        <v>202300217734367</v>
      </c>
      <c r="S55" s="58"/>
      <c r="T55" s="59" t="s">
        <v>297</v>
      </c>
      <c r="U55" t="s">
        <v>529</v>
      </c>
      <c r="V55" t="str">
        <f t="shared" si="2"/>
        <v>'25/03/2024 - Processo incluído no controle'</v>
      </c>
      <c r="W55" t="str">
        <v>WHEN 53 THEN
'25/03/2024 - Processo incluído no controle'</v>
      </c>
      <c r="X55" t="str">
        <v>WHEN 53 THEN
'DIVERSOS EQUIPAMENTOS CONFORME DI'</v>
      </c>
    </row>
    <row r="56" spans="1:24" ht="53.25" customHeight="1" x14ac:dyDescent="0.25">
      <c r="A56" t="str">
        <f>B56&amp;" - "&amp;COUNTIF($B$3:B56,B56)</f>
        <v>MEGASIL - 11</v>
      </c>
      <c r="B56" s="44" t="s">
        <v>67</v>
      </c>
      <c r="C56" s="45">
        <v>2417609524</v>
      </c>
      <c r="D56" s="46" t="s">
        <v>301</v>
      </c>
      <c r="E56" s="47" t="s">
        <v>302</v>
      </c>
      <c r="F56" s="48" t="s">
        <v>21</v>
      </c>
      <c r="G56" s="49">
        <v>152405220231060</v>
      </c>
      <c r="H56" s="50">
        <f t="shared" si="0"/>
        <v>46920</v>
      </c>
      <c r="I56" s="19">
        <f t="shared" si="1"/>
        <v>46950</v>
      </c>
      <c r="J56" s="51" t="s">
        <v>303</v>
      </c>
      <c r="K56" s="106" t="s">
        <v>71</v>
      </c>
      <c r="L56" s="53">
        <v>46981</v>
      </c>
      <c r="M56" s="54">
        <v>45520</v>
      </c>
      <c r="N56" s="55">
        <v>45525</v>
      </c>
      <c r="O56" s="107" t="s">
        <v>237</v>
      </c>
      <c r="P56" s="56">
        <v>2295964000130</v>
      </c>
      <c r="Q56" s="57"/>
      <c r="R56" s="58">
        <v>202400248810936</v>
      </c>
      <c r="S56" s="58"/>
      <c r="T56" s="59" t="s">
        <v>260</v>
      </c>
      <c r="U56" t="s">
        <v>529</v>
      </c>
      <c r="V56" t="str">
        <f t="shared" si="2"/>
        <v>'30/09/2024 - Processo incluído no controle'</v>
      </c>
      <c r="W56" t="str">
        <v>WHEN 54 THEN
'30/09/2024 - Processo incluído no controle'</v>
      </c>
      <c r="X56" t="str">
        <v>WHEN 54 THEN
'DIVERSOS EQUIPAMENTOS CONFORME DI'</v>
      </c>
    </row>
  </sheetData>
  <autoFilter ref="B2:T56" xr:uid="{230F9C0E-D39E-474D-BDF1-EF497463DD5A}"/>
  <conditionalFormatting sqref="B3:T56">
    <cfRule type="containsBlanks" dxfId="38" priority="8">
      <formula>LEN(TRIM(B3))=0</formula>
    </cfRule>
  </conditionalFormatting>
  <conditionalFormatting sqref="F3:G56">
    <cfRule type="notContainsBlanks" dxfId="37" priority="7">
      <formula>LEN(TRIM(F3))&gt;0</formula>
    </cfRule>
  </conditionalFormatting>
  <conditionalFormatting sqref="H3:H56">
    <cfRule type="expression" dxfId="36" priority="5">
      <formula>SEARCH(")",$L3)</formula>
    </cfRule>
    <cfRule type="expression" dxfId="35" priority="6">
      <formula>W3&gt;=Z3</formula>
    </cfRule>
  </conditionalFormatting>
  <conditionalFormatting sqref="L3:L56">
    <cfRule type="containsText" dxfId="34" priority="2" operator="containsText" text="NACIO">
      <formula>NOT(ISERROR(SEARCH("NACIO",L3)))</formula>
    </cfRule>
    <cfRule type="containsText" dxfId="33" priority="3" operator="containsText" text="IMP">
      <formula>NOT(ISERROR(SEARCH("IMP",L3)))</formula>
    </cfRule>
    <cfRule type="containsText" dxfId="32" priority="4" operator="containsText" text="EXP">
      <formula>NOT(ISERROR(SEARCH("EXP",L3)))</formula>
    </cfRule>
  </conditionalFormatting>
  <conditionalFormatting sqref="S3:S56">
    <cfRule type="expression" dxfId="31" priority="1">
      <formula>AB3&lt;=60</formula>
    </cfRule>
  </conditionalFormatting>
  <dataValidations disablePrompts="1" count="4">
    <dataValidation type="textLength" allowBlank="1" showInputMessage="1" showErrorMessage="1" error="CNPJ está incompleto" sqref="P3:P6" xr:uid="{ED9AD7E7-1475-44BC-ADA3-1E86B71D4644}">
      <formula1>13</formula1>
      <formula2>14</formula2>
    </dataValidation>
    <dataValidation type="textLength" allowBlank="1" showInputMessage="1" showErrorMessage="1" error="CE MERCANTE incompleto" sqref="G3:G6" xr:uid="{C15BEE8A-32BB-456D-AD42-8C1C195F08BE}">
      <formula1>14</formula1>
      <formula2>15</formula2>
    </dataValidation>
    <dataValidation type="textLength" allowBlank="1" showInputMessage="1" showErrorMessage="1" error="Digite somente os numeros" sqref="C3:C6" xr:uid="{E95AF287-4ECD-4797-A83D-8B005E983385}">
      <formula1>10</formula1>
      <formula2>12</formula2>
    </dataValidation>
    <dataValidation type="textLength" allowBlank="1" showInputMessage="1" showErrorMessage="1" error="Digite a Referencia Completa" sqref="D3:D6" xr:uid="{4F6BA1FB-3E70-49E4-8186-C5280EEF4033}">
      <formula1>13</formula1>
      <formula2>13</formula2>
    </dataValidation>
  </dataValidations>
  <hyperlinks>
    <hyperlink ref="D8" r:id="rId1" xr:uid="{09889F81-B8DE-4431-A140-A8066F358A91}"/>
    <hyperlink ref="D38" r:id="rId2" xr:uid="{3BED0B8A-F3FE-4325-AFE4-BE0A83746BDC}"/>
    <hyperlink ref="D21" r:id="rId3" xr:uid="{0F2F96DA-97CA-479E-B697-574015B13EB7}"/>
    <hyperlink ref="D17" r:id="rId4" xr:uid="{9D2CBA6A-EEFA-41C4-B793-4C3B91B68FFD}"/>
    <hyperlink ref="D19" r:id="rId5" xr:uid="{A82B7A8A-D4B6-4A96-93AB-4388D4657404}"/>
    <hyperlink ref="D53" r:id="rId6" xr:uid="{7A720BB8-4575-420D-B32B-62AEC11C7AB9}"/>
    <hyperlink ref="D16" r:id="rId7" xr:uid="{7415C122-CD4D-42CA-AD69-58D3F7DAEC44}"/>
    <hyperlink ref="D14" r:id="rId8" xr:uid="{DBC14293-7C6E-4449-882A-5FE28675C38D}"/>
    <hyperlink ref="D23" r:id="rId9" xr:uid="{015CD747-CF3C-49DA-AA13-53819C860D90}"/>
    <hyperlink ref="D15" r:id="rId10" xr:uid="{5B4AFDED-3DB7-483D-BE85-B11968A129A7}"/>
    <hyperlink ref="D50" r:id="rId11" xr:uid="{A34FDE9A-7546-487B-B8DE-8EDEA9E76AF2}"/>
    <hyperlink ref="D49" r:id="rId12" xr:uid="{82606D81-1278-4A7A-8BC3-2A0FDA6698E6}"/>
    <hyperlink ref="D33" r:id="rId13" xr:uid="{CF47F450-DBF0-4D7B-8E3E-BCFEB8F67BD6}"/>
    <hyperlink ref="D43" r:id="rId14" xr:uid="{98658BA5-F4F4-4313-9DE5-4EC421C62997}"/>
    <hyperlink ref="D6" r:id="rId15" xr:uid="{2D0F5B49-1877-4DC0-9AA3-21904A077A4D}"/>
    <hyperlink ref="D27" r:id="rId16" xr:uid="{A98E1DC9-F2C8-4D72-AC6E-03CA95C1274F}"/>
    <hyperlink ref="D25" r:id="rId17" xr:uid="{EB31120A-3E33-45EF-9CEB-10DA36C3D2CD}"/>
    <hyperlink ref="D28" r:id="rId18" xr:uid="{B450334F-0E73-4146-A068-D45508F0018B}"/>
    <hyperlink ref="D26" r:id="rId19" xr:uid="{94142A62-BB06-497D-B6C0-1DCB652CE904}"/>
    <hyperlink ref="D34" r:id="rId20" xr:uid="{5AA62EC0-A87E-47EE-8536-D887F13B7BCE}"/>
    <hyperlink ref="D37" r:id="rId21" xr:uid="{C5C7211A-94A6-4BDE-9B02-AD4661D09C74}"/>
    <hyperlink ref="D3" r:id="rId22" xr:uid="{481EF6E4-375F-451F-8F57-A8EBBB262EF4}"/>
    <hyperlink ref="D30" r:id="rId23" xr:uid="{86FFB193-6621-416A-9104-3F1F5B73988E}"/>
    <hyperlink ref="D35" r:id="rId24" xr:uid="{65E8A036-F93A-4A41-8108-91FAB50B7C32}"/>
    <hyperlink ref="D36" r:id="rId25" xr:uid="{AA7FFB98-3F57-4EB1-80EA-6C6ADDB6B353}"/>
    <hyperlink ref="D5" r:id="rId26" xr:uid="{1C5E5692-D1CB-4880-9368-4A3F4B55CED7}"/>
    <hyperlink ref="D18" r:id="rId27" xr:uid="{07936293-CEED-4EA6-B67F-164A9530EC1A}"/>
    <hyperlink ref="D20" r:id="rId28" xr:uid="{EED134FC-B013-4351-B250-D29DA9E15FC2}"/>
    <hyperlink ref="D22" r:id="rId29" xr:uid="{C3579305-7623-4895-B1DD-750BE271F170}"/>
    <hyperlink ref="D31" r:id="rId30" xr:uid="{6CB80001-68D1-4426-84A8-1E36009FCDAA}"/>
    <hyperlink ref="D40" r:id="rId31" xr:uid="{DECD2336-DFBD-4938-A5D5-AD836B32D36E}"/>
    <hyperlink ref="D10" r:id="rId32" xr:uid="{F1B1538A-04E5-46BC-8C50-9C85D281A030}"/>
    <hyperlink ref="D45" r:id="rId33" xr:uid="{2E92F925-537C-4FC7-B05E-30B679F2EE96}"/>
    <hyperlink ref="D46" r:id="rId34" xr:uid="{55686BA4-5A9B-4E19-8E98-9DB10F7F2794}"/>
    <hyperlink ref="D51" r:id="rId35" xr:uid="{3014ABAB-DBE9-4C0F-B033-F0F58398F6A1}"/>
    <hyperlink ref="D52" r:id="rId36" xr:uid="{4B76A762-166C-43BF-966A-ECAC993AED4E}"/>
    <hyperlink ref="D44" r:id="rId37" xr:uid="{E40EF879-C541-4F02-B846-E487B2030228}"/>
    <hyperlink ref="D13" r:id="rId38" xr:uid="{C1DE5683-52DE-4E4E-8526-2656831344CD}"/>
    <hyperlink ref="D55" r:id="rId39" xr:uid="{254947A9-5E33-48A2-B0E8-3B2B767EF61B}"/>
    <hyperlink ref="D54" r:id="rId40" xr:uid="{0DFF71AF-0D6A-46A8-B5AD-E34932B5FF33}"/>
    <hyperlink ref="D24" r:id="rId41" xr:uid="{B34ED424-AB2B-4D17-B74E-084D08E5053B}"/>
    <hyperlink ref="D4" r:id="rId42" display="I-23/0271-MBG" xr:uid="{2CFE2FEF-1502-4E1B-915C-7D69F3C34239}"/>
    <hyperlink ref="D29" r:id="rId43" display="I-23/1653-MEG" xr:uid="{772C5BC2-409B-4D5B-9B8C-A1D56AFFBD36}"/>
    <hyperlink ref="D7" r:id="rId44" display="I-24/1100-DTA" xr:uid="{70A71680-0B60-4DF7-8543-558F97893AED}"/>
    <hyperlink ref="D48" r:id="rId45" xr:uid="{0BBCCD6E-C3B6-4623-A74B-F908C33F7DD8}"/>
    <hyperlink ref="D9" r:id="rId46" xr:uid="{9BE44F9F-5FEE-4E7A-89F9-348A6CF0DC4C}"/>
    <hyperlink ref="D11" r:id="rId47" xr:uid="{960F3B0D-FCAB-4F83-AEF7-C97C67AA7E7E}"/>
    <hyperlink ref="D32" r:id="rId48" display="I-23/1653-MEG" xr:uid="{E8C5BC02-4934-46ED-B93D-D82F4CED0545}"/>
    <hyperlink ref="D41" r:id="rId49" display="I-23/1653-MEG" xr:uid="{CCD811B1-66C8-4B08-A2C3-BAA8AB3EA254}"/>
    <hyperlink ref="D47" r:id="rId50" xr:uid="{F1686D21-CA0C-4917-99D1-B9C66494B88F}"/>
    <hyperlink ref="D56" r:id="rId51" display="I-23/1653-MEG" xr:uid="{1BAEA26A-7683-4A0C-B196-0118022C734B}"/>
    <hyperlink ref="D12" r:id="rId52" xr:uid="{F79A59D6-4041-484E-B429-196AE49BD521}"/>
    <hyperlink ref="D39" r:id="rId53" xr:uid="{98739C33-3C4F-43C9-A411-84FB7E0175DA}"/>
    <hyperlink ref="D42" r:id="rId54" display="I-23/1653-MEG" xr:uid="{9D93F64C-58A7-4976-8681-B20C5820D8D5}"/>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C4CD-2293-4F91-9F2C-2FE611D5D49E}">
  <dimension ref="A1:O70"/>
  <sheetViews>
    <sheetView tabSelected="1" workbookViewId="0">
      <selection activeCell="A11" sqref="A11"/>
    </sheetView>
  </sheetViews>
  <sheetFormatPr defaultRowHeight="15" x14ac:dyDescent="0.25"/>
  <cols>
    <col min="2" max="2" width="16.140625" bestFit="1" customWidth="1"/>
    <col min="3" max="3" width="12" bestFit="1" customWidth="1"/>
    <col min="4" max="4" width="14.5703125" bestFit="1" customWidth="1"/>
    <col min="5" max="5" width="27.85546875" bestFit="1" customWidth="1"/>
    <col min="6" max="7" width="10.7109375" bestFit="1" customWidth="1"/>
    <col min="8" max="8" width="12" bestFit="1" customWidth="1"/>
    <col min="10" max="10" width="10" bestFit="1" customWidth="1"/>
    <col min="11" max="11" width="20.42578125" bestFit="1" customWidth="1"/>
    <col min="12" max="12" width="10.5703125" bestFit="1" customWidth="1"/>
    <col min="14" max="14" width="16.28515625" bestFit="1" customWidth="1"/>
    <col min="15" max="15" width="11" bestFit="1" customWidth="1"/>
    <col min="18" max="18" width="10.42578125" bestFit="1" customWidth="1"/>
    <col min="19" max="19" width="39.7109375" bestFit="1" customWidth="1"/>
  </cols>
  <sheetData>
    <row r="1" spans="1:15" x14ac:dyDescent="0.25">
      <c r="B1" t="s">
        <v>516</v>
      </c>
      <c r="C1" t="s">
        <v>517</v>
      </c>
      <c r="D1" t="s">
        <v>518</v>
      </c>
      <c r="E1" t="s">
        <v>519</v>
      </c>
      <c r="F1" t="s">
        <v>520</v>
      </c>
      <c r="G1" t="s">
        <v>521</v>
      </c>
      <c r="H1" t="s">
        <v>522</v>
      </c>
      <c r="I1" t="s">
        <v>523</v>
      </c>
      <c r="J1" t="s">
        <v>16</v>
      </c>
      <c r="K1" t="s">
        <v>524</v>
      </c>
      <c r="L1" t="s">
        <v>525</v>
      </c>
      <c r="M1" t="s">
        <v>526</v>
      </c>
      <c r="N1" t="s">
        <v>527</v>
      </c>
    </row>
    <row r="2" spans="1:15" x14ac:dyDescent="0.25">
      <c r="B2" s="121" cm="1">
        <f t="array" ref="B2:B55">Main!C3:C56</f>
        <v>2213721580</v>
      </c>
      <c r="C2" cm="1">
        <f t="array" ref="C2:C55">_xlfn.XLOOKUP(_xlfn.XLOOKUP(D2:D55,Main!D3:D56,Main!P3:P56),_xlfn.ANCHORARRAY(TB_CNPJ!B2),_xlfn.ANCHORARRAY(TB_CNPJ!A2))</f>
        <v>5</v>
      </c>
      <c r="D2" t="str" cm="1">
        <f t="array" ref="D2:G55">_xlfn.CHOOSECOLS(Main!B3:T56,3,4,12,13)</f>
        <v>I-22/0968-MBG</v>
      </c>
      <c r="E2">
        <v>0</v>
      </c>
      <c r="F2" s="115">
        <v>44761</v>
      </c>
      <c r="G2" s="115">
        <v>44769</v>
      </c>
      <c r="H2" cm="1">
        <f t="array" ref="H2:H55">_xlfn.XLOOKUP(_xlfn.XLOOKUP(TB_DECLARACAO!D2:D55,Main!D3:D56,Main!G3:G56),TB_CE_MERCANTE!I2:I38,_xlfn.ANCHORARRAY(TB_CE_MERCANTE!H2),"")</f>
        <v>1</v>
      </c>
      <c r="I2" cm="1">
        <f t="array" ref="I2:I55">_xlfn.XLOOKUP(_xlfn.XLOOKUP(D2:D55,TB_RECINTO_ALFANDEGADO!B2:B55,TB_RECINTO_ALFANDEGADO!F2:F55),_xlfn.ANCHORARRAY(TB_RECINTO_ALFANDEGADO!K2),TB_RECINTO_ALFANDEGADO!J2:J20)</f>
        <v>4</v>
      </c>
      <c r="J2" cm="1">
        <f t="array" ref="J2:K55">_xlfn.CHOOSECOLS(Main!B3:T56,17,16)</f>
        <v>202200158843967</v>
      </c>
      <c r="K2">
        <v>0</v>
      </c>
      <c r="L2" cm="1">
        <f t="array" ref="L2:L55">_xlfn.XLOOKUP(_xlfn.XLOOKUP(D2:D55,TB_CONTRATO!C2:C56,TB_CONTRATO!D2:D56),TB_CONTRATO!D2:D56,_xlfn.ANCHORARRAY(TB_CONTRATO!A2))</f>
        <v>1</v>
      </c>
      <c r="M2" t="str" cm="1">
        <f t="array" ref="M2:M55">_xlfn.XLOOKUP(_xlfn.XLOOKUP(D2:D55,TB_APOLICE!B2:B55,TB_APOLICE!D2:D55),TB_APOLICE!A57:A75,_xlfn.ANCHORARRAY(TB_APOLICE!B57),"")</f>
        <v/>
      </c>
      <c r="N2" t="str" cm="1">
        <f t="array" ref="N2:N55">_xlfn.XLOOKUP(D2:D55,Main!D3:D56,Main!U3:U56)</f>
        <v>MARÍTIMO</v>
      </c>
      <c r="O2" t="str">
        <f>"('"&amp;B2&amp;"', "&amp;C2&amp;", '"&amp;D2&amp;"', '"&amp;E2&amp;"', '"&amp;TEXT(F2,"AAAA-MM-DD")&amp;"', '"&amp;TEXT(G2,"AAAA-MM-DD")&amp;"', "&amp;H2&amp;", "&amp;I2&amp;", '"&amp;J2&amp;"', '"&amp;K2&amp;"', "&amp;L2&amp;", "&amp;M2&amp;", '"&amp;N2&amp;"'),"</f>
        <v>('2213721580', 5, 'I-22/0968-MBG', '0', '2022-07-19', '2022-07-27', 1, 4, '202200158843967', '0', 1, , 'MARÍTIMO'),</v>
      </c>
    </row>
    <row r="3" spans="1:15" x14ac:dyDescent="0.25">
      <c r="B3" s="121">
        <v>2406902926</v>
      </c>
      <c r="C3">
        <v>5</v>
      </c>
      <c r="D3" t="str">
        <v>I-24/0271-MBG</v>
      </c>
      <c r="E3" t="str">
        <v>CABOS E CONTRAPESO</v>
      </c>
      <c r="F3" s="115">
        <v>45384</v>
      </c>
      <c r="G3" s="115">
        <v>45386</v>
      </c>
      <c r="H3">
        <v>2</v>
      </c>
      <c r="I3">
        <v>3</v>
      </c>
      <c r="J3">
        <v>202400232144540</v>
      </c>
      <c r="K3">
        <v>0</v>
      </c>
      <c r="L3">
        <v>3</v>
      </c>
      <c r="M3" t="str">
        <v/>
      </c>
      <c r="N3" t="str">
        <v>MARÍTIMO</v>
      </c>
      <c r="O3" t="str">
        <f t="shared" ref="O3:O55" si="0">"('"&amp;B3&amp;"', "&amp;C3&amp;", '"&amp;D3&amp;"', '"&amp;E3&amp;"', '"&amp;TEXT(F3,"AAAA-MM-DD")&amp;"', '"&amp;TEXT(G3,"AAAA-MM-DD")&amp;"', "&amp;H3&amp;", "&amp;I3&amp;", '"&amp;J3&amp;"', '"&amp;K3&amp;"', "&amp;L3&amp;", "&amp;M3&amp;", '"&amp;N3&amp;"'),"</f>
        <v>('2406902926', 5, 'I-24/0271-MBG', 'CABOS E CONTRAPESO', '2024-04-02', '2024-04-04', 2, 3, '202400232144540', '0', 3, , 'MARÍTIMO'),</v>
      </c>
    </row>
    <row r="4" spans="1:15" x14ac:dyDescent="0.25">
      <c r="B4" s="121">
        <v>2215388101</v>
      </c>
      <c r="C4">
        <v>5</v>
      </c>
      <c r="D4" t="str">
        <v>I-22/1149-MBG</v>
      </c>
      <c r="E4">
        <v>0</v>
      </c>
      <c r="F4" s="115">
        <v>44783</v>
      </c>
      <c r="G4" s="115">
        <v>44785</v>
      </c>
      <c r="H4">
        <v>3</v>
      </c>
      <c r="I4">
        <v>4</v>
      </c>
      <c r="J4">
        <v>202200161707530</v>
      </c>
      <c r="K4">
        <v>0</v>
      </c>
      <c r="L4">
        <v>4</v>
      </c>
      <c r="M4" t="str">
        <v/>
      </c>
      <c r="N4" t="str">
        <v>MARÍTIMO</v>
      </c>
      <c r="O4" t="str">
        <f t="shared" si="0"/>
        <v>('2215388101', 5, 'I-22/1149-MBG', '0', '2022-08-10', '2022-08-12', 3, 4, '202200161707530', '0', 4, , 'MARÍTIMO'),</v>
      </c>
    </row>
    <row r="5" spans="1:15" x14ac:dyDescent="0.25">
      <c r="B5" s="121">
        <v>2211469948</v>
      </c>
      <c r="C5">
        <v>5</v>
      </c>
      <c r="D5" t="str">
        <v>I-22/0680-MBG</v>
      </c>
      <c r="E5" t="str">
        <v>CC3800-1</v>
      </c>
      <c r="F5" s="115">
        <v>44729</v>
      </c>
      <c r="G5" s="115">
        <v>44741</v>
      </c>
      <c r="H5">
        <v>4</v>
      </c>
      <c r="I5">
        <v>5</v>
      </c>
      <c r="J5">
        <v>202200155225677</v>
      </c>
      <c r="K5">
        <v>0</v>
      </c>
      <c r="L5">
        <v>1</v>
      </c>
      <c r="M5">
        <v>1</v>
      </c>
      <c r="N5" t="str">
        <v>MARÍTIMO</v>
      </c>
      <c r="O5" t="str">
        <f t="shared" si="0"/>
        <v>('2211469948', 5, 'I-22/0680-MBG', 'CC3800-1', '2022-06-17', '2022-06-29', 4, 5, '202200155225677', '0', 1, 1, 'MARÍTIMO'),</v>
      </c>
    </row>
    <row r="6" spans="1:15" x14ac:dyDescent="0.25">
      <c r="B6" s="121">
        <v>2411169727</v>
      </c>
      <c r="C6">
        <v>2</v>
      </c>
      <c r="D6" t="str">
        <v>I-24/1100-DTE</v>
      </c>
      <c r="E6" t="str">
        <v>DRAGA FENFORD</v>
      </c>
      <c r="F6" s="115">
        <v>45439</v>
      </c>
      <c r="G6" s="115">
        <v>45439</v>
      </c>
      <c r="H6" t="str">
        <v/>
      </c>
      <c r="I6">
        <v>8</v>
      </c>
      <c r="J6">
        <v>202400238873528</v>
      </c>
      <c r="K6">
        <v>0</v>
      </c>
      <c r="L6">
        <v>6</v>
      </c>
      <c r="M6" t="str">
        <v/>
      </c>
      <c r="N6" t="str">
        <v>MEIOS PRÓPRIOS</v>
      </c>
      <c r="O6" t="str">
        <f t="shared" si="0"/>
        <v>('2411169727', 2, 'I-24/1100-DTE', 'DRAGA FENFORD', '2024-05-27', '2024-05-27', , 8, '202400238873528', '0', 6, , 'MEIOS PRÓPRIOS'),</v>
      </c>
    </row>
    <row r="7" spans="1:15" x14ac:dyDescent="0.25">
      <c r="B7" s="121">
        <v>2111602972</v>
      </c>
      <c r="C7">
        <v>5</v>
      </c>
      <c r="D7" t="str">
        <v>I-21/0721-MBG</v>
      </c>
      <c r="E7" t="str">
        <v>LTM1500-8.1</v>
      </c>
      <c r="F7" s="115">
        <v>44364</v>
      </c>
      <c r="G7" s="115">
        <v>44368</v>
      </c>
      <c r="H7">
        <v>5</v>
      </c>
      <c r="I7">
        <v>3</v>
      </c>
      <c r="J7">
        <v>202100109389832</v>
      </c>
      <c r="K7">
        <v>0</v>
      </c>
      <c r="L7">
        <v>7</v>
      </c>
      <c r="M7">
        <v>2</v>
      </c>
      <c r="N7" t="str">
        <v>MARÍTIMO</v>
      </c>
      <c r="O7" t="str">
        <f t="shared" si="0"/>
        <v>('2111602972', 5, 'I-21/0721-MBG', 'LTM1500-8.1', '2021-06-17', '2021-06-21', 5, 3, '202100109389832', '0', 7, 2, 'MARÍTIMO'),</v>
      </c>
    </row>
    <row r="8" spans="1:15" x14ac:dyDescent="0.25">
      <c r="B8" s="121">
        <v>240010523748</v>
      </c>
      <c r="C8">
        <v>12</v>
      </c>
      <c r="D8" t="str">
        <v>E-24/0208-KRN</v>
      </c>
      <c r="E8" t="str">
        <v>EXP TEMPORARIA</v>
      </c>
      <c r="F8" s="115">
        <v>45467</v>
      </c>
      <c r="G8" s="115">
        <v>45468</v>
      </c>
      <c r="H8" t="str">
        <v/>
      </c>
      <c r="I8">
        <v>12</v>
      </c>
      <c r="J8">
        <v>202400242169252</v>
      </c>
      <c r="K8">
        <v>0</v>
      </c>
      <c r="L8">
        <v>8</v>
      </c>
      <c r="M8" t="str">
        <v/>
      </c>
      <c r="N8" t="str">
        <v>AÉREO</v>
      </c>
      <c r="O8" t="str">
        <f t="shared" si="0"/>
        <v>('240010523748', 12, 'E-24/0208-KRN', 'EXP TEMPORARIA', '2024-06-24', '2024-06-25', , 12, '202400242169252', '0', 8, , 'AÉREO'),</v>
      </c>
    </row>
    <row r="9" spans="1:15" x14ac:dyDescent="0.25">
      <c r="B9" s="121">
        <v>2102189170</v>
      </c>
      <c r="C9">
        <v>1</v>
      </c>
      <c r="D9" t="str">
        <v>I-20/1533-MEG</v>
      </c>
      <c r="E9" t="str">
        <v>FORRAGEIRA+PLATAFORMA</v>
      </c>
      <c r="F9" s="115">
        <v>44230</v>
      </c>
      <c r="G9" s="115">
        <v>44231</v>
      </c>
      <c r="H9">
        <v>6</v>
      </c>
      <c r="I9">
        <v>11</v>
      </c>
      <c r="J9">
        <v>202100097363944</v>
      </c>
      <c r="K9">
        <v>0</v>
      </c>
      <c r="L9">
        <v>9</v>
      </c>
      <c r="M9" t="str">
        <v/>
      </c>
      <c r="N9" t="str">
        <v>MARÍTIMO</v>
      </c>
      <c r="O9" t="str">
        <f t="shared" si="0"/>
        <v>('2102189170', 1, 'I-20/1533-MEG', 'FORRAGEIRA+PLATAFORMA', '2021-02-03', '2021-02-04', 6, 11, '202100097363944', '0', 9, , 'MARÍTIMO'),</v>
      </c>
    </row>
    <row r="10" spans="1:15" x14ac:dyDescent="0.25">
      <c r="A10">
        <f>LEN(B10)</f>
        <v>10</v>
      </c>
      <c r="B10" s="121">
        <v>2412607809</v>
      </c>
      <c r="C10">
        <v>2</v>
      </c>
      <c r="D10" t="str">
        <v>I-24/1261-DTE</v>
      </c>
      <c r="E10" t="str">
        <v>DRAGA ELBE</v>
      </c>
      <c r="F10" s="115">
        <v>45457</v>
      </c>
      <c r="G10" s="115">
        <v>45461</v>
      </c>
      <c r="H10" t="str">
        <v/>
      </c>
      <c r="I10">
        <v>1</v>
      </c>
      <c r="J10">
        <v>202400241046459</v>
      </c>
      <c r="K10">
        <v>0</v>
      </c>
      <c r="L10">
        <v>10</v>
      </c>
      <c r="M10" t="str">
        <v/>
      </c>
      <c r="N10" t="str">
        <v>MEIOS PRÓPRIOS</v>
      </c>
      <c r="O10" t="str">
        <f t="shared" si="0"/>
        <v>('2412607809', 2, 'I-24/1261-DTE', 'DRAGA ELBE', '2024-06-14', '2024-06-18', , 1, '202400241046459', '0', 10, , 'MEIOS PRÓPRIOS'),</v>
      </c>
    </row>
    <row r="11" spans="1:15" x14ac:dyDescent="0.25">
      <c r="A11">
        <f>LEN(B11)</f>
        <v>12</v>
      </c>
      <c r="B11" s="121">
        <v>240003252912</v>
      </c>
      <c r="C11">
        <v>4</v>
      </c>
      <c r="D11" t="str">
        <v>E-24/0052-NEA</v>
      </c>
      <c r="E11">
        <v>0</v>
      </c>
      <c r="F11" s="115">
        <v>45349</v>
      </c>
      <c r="G11" s="115">
        <v>45350</v>
      </c>
      <c r="H11" t="str">
        <v/>
      </c>
      <c r="I11">
        <v>13</v>
      </c>
      <c r="J11">
        <v>202400227845285</v>
      </c>
      <c r="K11">
        <v>0</v>
      </c>
      <c r="L11">
        <v>11</v>
      </c>
      <c r="M11" t="str">
        <v/>
      </c>
      <c r="N11" t="str">
        <v>AÉREO</v>
      </c>
      <c r="O11" t="str">
        <f t="shared" si="0"/>
        <v>('240003252912', 4, 'E-24/0052-NEA', '0', '2024-02-27', '2024-02-28', , 13, '202400227845285', '0', 11, , 'AÉREO'),</v>
      </c>
    </row>
    <row r="12" spans="1:15" x14ac:dyDescent="0.25">
      <c r="B12" s="121">
        <v>240000198208</v>
      </c>
      <c r="C12">
        <v>4</v>
      </c>
      <c r="D12" t="str">
        <v>E-24/0004-NEA</v>
      </c>
      <c r="E12">
        <v>0</v>
      </c>
      <c r="F12" s="115">
        <v>45296</v>
      </c>
      <c r="G12" s="115">
        <v>45303</v>
      </c>
      <c r="H12" t="str">
        <v/>
      </c>
      <c r="I12">
        <v>13</v>
      </c>
      <c r="J12">
        <v>202400222101024</v>
      </c>
      <c r="K12">
        <v>0</v>
      </c>
      <c r="L12">
        <v>11</v>
      </c>
      <c r="M12" t="str">
        <v/>
      </c>
      <c r="N12" t="str">
        <v>AÉREO</v>
      </c>
      <c r="O12" t="str">
        <f t="shared" si="0"/>
        <v>('240000198208', 4, 'E-24/0004-NEA', '0', '2024-01-05', '2024-01-12', , 13, '202400222101024', '0', 11, , 'AÉREO'),</v>
      </c>
    </row>
    <row r="13" spans="1:15" x14ac:dyDescent="0.25">
      <c r="B13" s="121">
        <v>2105759393</v>
      </c>
      <c r="C13">
        <v>6</v>
      </c>
      <c r="D13" t="str">
        <v>I-21/0343-MBG</v>
      </c>
      <c r="E13" t="str">
        <v>EXP-MUSA-12521</v>
      </c>
      <c r="F13" s="115">
        <v>44279</v>
      </c>
      <c r="G13" s="115">
        <v>44281</v>
      </c>
      <c r="H13">
        <v>7</v>
      </c>
      <c r="I13">
        <v>10</v>
      </c>
      <c r="J13">
        <v>202100103816828</v>
      </c>
      <c r="K13">
        <v>0</v>
      </c>
      <c r="L13">
        <v>7</v>
      </c>
      <c r="M13">
        <v>3</v>
      </c>
      <c r="N13" t="str">
        <v>MARÍTIMO</v>
      </c>
      <c r="O13" t="str">
        <f t="shared" si="0"/>
        <v>('2105759393', 6, 'I-21/0343-MBG', 'EXP-MUSA-12521', '2021-03-24', '2021-03-26', 7, 10, '202100103816828', '0', 7, 3, 'MARÍTIMO'),</v>
      </c>
    </row>
    <row r="14" spans="1:15" x14ac:dyDescent="0.25">
      <c r="B14" s="121">
        <v>2306782082</v>
      </c>
      <c r="C14">
        <v>5</v>
      </c>
      <c r="D14" t="str">
        <v>I-23/0175-MBG</v>
      </c>
      <c r="E14" t="str">
        <v>REP. DOMINICANA</v>
      </c>
      <c r="F14" s="115">
        <v>45026</v>
      </c>
      <c r="G14" s="115">
        <v>45029</v>
      </c>
      <c r="H14">
        <v>8</v>
      </c>
      <c r="I14">
        <v>9</v>
      </c>
      <c r="J14">
        <v>202300188957138</v>
      </c>
      <c r="K14">
        <v>0</v>
      </c>
      <c r="L14">
        <v>14</v>
      </c>
      <c r="M14" t="str">
        <v/>
      </c>
      <c r="N14" t="str">
        <v>MARÍTIMO</v>
      </c>
      <c r="O14" t="str">
        <f t="shared" si="0"/>
        <v>('2306782082', 5, 'I-23/0175-MBG', 'REP. DOMINICANA', '2023-04-10', '2023-04-13', 8, 9, '202300188957138', '0', 14, , 'MARÍTIMO'),</v>
      </c>
    </row>
    <row r="15" spans="1:15" x14ac:dyDescent="0.25">
      <c r="B15" s="121">
        <v>2308248563</v>
      </c>
      <c r="C15">
        <v>5</v>
      </c>
      <c r="D15" t="str">
        <v>I-23/0432-MBG</v>
      </c>
      <c r="E15" t="str">
        <v>REP. LINHA DE EIXO</v>
      </c>
      <c r="F15" s="115">
        <v>45044</v>
      </c>
      <c r="G15" s="115">
        <v>45056</v>
      </c>
      <c r="H15">
        <v>9</v>
      </c>
      <c r="I15">
        <v>9</v>
      </c>
      <c r="J15">
        <v>202300191329045</v>
      </c>
      <c r="K15">
        <v>0</v>
      </c>
      <c r="L15">
        <v>14</v>
      </c>
      <c r="M15">
        <v>4</v>
      </c>
      <c r="N15" t="str">
        <v>MARÍTIMO</v>
      </c>
      <c r="O15" t="str">
        <f t="shared" si="0"/>
        <v>('2308248563', 5, 'I-23/0432-MBG', 'REP. LINHA DE EIXO', '2023-04-28', '2023-05-10', 9, 9, '202300191329045', '0', 14, 4, 'MARÍTIMO'),</v>
      </c>
    </row>
    <row r="16" spans="1:15" x14ac:dyDescent="0.25">
      <c r="B16" s="121">
        <v>2221403214</v>
      </c>
      <c r="C16">
        <v>5</v>
      </c>
      <c r="D16" t="str">
        <v>I-22/1173-MBG</v>
      </c>
      <c r="E16" t="str">
        <v>EXPO-CHL-BRL-034</v>
      </c>
      <c r="F16" s="115">
        <v>44862</v>
      </c>
      <c r="G16" s="115">
        <v>44873</v>
      </c>
      <c r="H16">
        <v>10</v>
      </c>
      <c r="I16">
        <v>17</v>
      </c>
      <c r="J16">
        <v>202200171178807</v>
      </c>
      <c r="K16">
        <v>0</v>
      </c>
      <c r="L16">
        <v>14</v>
      </c>
      <c r="M16">
        <v>5</v>
      </c>
      <c r="N16" t="str">
        <v>MARÍTIMO</v>
      </c>
      <c r="O16" t="str">
        <f t="shared" si="0"/>
        <v>('2221403214', 5, 'I-22/1173-MBG', 'EXPO-CHL-BRL-034', '2022-10-28', '2022-11-08', 10, 17, '202200171178807', '0', 14, 5, 'MARÍTIMO'),</v>
      </c>
    </row>
    <row r="17" spans="2:15" x14ac:dyDescent="0.25">
      <c r="B17" s="121">
        <v>2225612292</v>
      </c>
      <c r="C17">
        <v>5</v>
      </c>
      <c r="D17" t="str">
        <v>I-22/1955-MBG</v>
      </c>
      <c r="E17" t="str">
        <v>CC 2800-1</v>
      </c>
      <c r="F17" s="115">
        <v>44921</v>
      </c>
      <c r="G17" s="115">
        <v>44945</v>
      </c>
      <c r="H17">
        <v>11</v>
      </c>
      <c r="I17">
        <v>10</v>
      </c>
      <c r="J17">
        <v>202200177717807</v>
      </c>
      <c r="K17">
        <v>0</v>
      </c>
      <c r="L17">
        <v>14</v>
      </c>
      <c r="M17">
        <v>6</v>
      </c>
      <c r="N17" t="str">
        <v>MARÍTIMO</v>
      </c>
      <c r="O17" t="str">
        <f t="shared" si="0"/>
        <v>('2225612292', 5, 'I-22/1955-MBG', 'CC 2800-1', '2022-12-26', '2023-01-19', 11, 10, '202200177717807', '0', 14, 6, 'MARÍTIMO'),</v>
      </c>
    </row>
    <row r="18" spans="2:15" x14ac:dyDescent="0.25">
      <c r="B18" s="121">
        <v>2117258092</v>
      </c>
      <c r="C18">
        <v>6</v>
      </c>
      <c r="D18" t="str">
        <v>I-21/1420-MBG</v>
      </c>
      <c r="E18" t="str">
        <v>CKE1100G-2</v>
      </c>
      <c r="F18" s="115">
        <v>44456</v>
      </c>
      <c r="G18" s="115">
        <v>44459</v>
      </c>
      <c r="H18">
        <v>12</v>
      </c>
      <c r="I18">
        <v>10</v>
      </c>
      <c r="J18">
        <v>202100119574713</v>
      </c>
      <c r="K18">
        <v>0</v>
      </c>
      <c r="L18">
        <v>18</v>
      </c>
      <c r="M18">
        <v>7</v>
      </c>
      <c r="N18" t="str">
        <v>MARÍTIMO</v>
      </c>
      <c r="O18" t="str">
        <f t="shared" si="0"/>
        <v>('2117258092', 6, 'I-21/1420-MBG', 'CKE1100G-2', '2021-09-17', '2021-09-20', 12, 10, '202100119574713', '0', 18, 7, 'MARÍTIMO'),</v>
      </c>
    </row>
    <row r="19" spans="2:15" x14ac:dyDescent="0.25">
      <c r="B19" s="121">
        <v>1801413543</v>
      </c>
      <c r="C19">
        <v>6</v>
      </c>
      <c r="D19" t="str">
        <v>I-17/2116-MBG</v>
      </c>
      <c r="E19" t="str">
        <v>LINHA DE EIXO + POWER PACK</v>
      </c>
      <c r="F19" s="115">
        <v>43122</v>
      </c>
      <c r="G19" s="115">
        <v>43150</v>
      </c>
      <c r="H19">
        <v>13</v>
      </c>
      <c r="I19">
        <v>10</v>
      </c>
      <c r="J19">
        <v>201800018270352</v>
      </c>
      <c r="K19" t="str">
        <v>10711.720099/2018-34</v>
      </c>
      <c r="L19">
        <v>19</v>
      </c>
      <c r="M19">
        <v>8</v>
      </c>
      <c r="N19" t="str">
        <v>MARÍTIMO</v>
      </c>
      <c r="O19" t="str">
        <f t="shared" si="0"/>
        <v>('1801413543', 6, 'I-17/2116-MBG', 'LINHA DE EIXO + POWER PACK', '2018-01-22', '2018-02-19', 13, 10, '201800018270352', '10711.720099/2018-34', 19, 8, 'MARÍTIMO'),</v>
      </c>
    </row>
    <row r="20" spans="2:15" x14ac:dyDescent="0.25">
      <c r="B20" s="121">
        <v>1905629534</v>
      </c>
      <c r="C20">
        <v>6</v>
      </c>
      <c r="D20" t="str">
        <v>I-19/0083-MBG</v>
      </c>
      <c r="E20" t="str">
        <v>GUINDASTE CC 2800-1</v>
      </c>
      <c r="F20" s="115">
        <v>43552</v>
      </c>
      <c r="G20" s="115">
        <v>43564</v>
      </c>
      <c r="H20">
        <v>14</v>
      </c>
      <c r="I20">
        <v>7</v>
      </c>
      <c r="J20">
        <v>201900038644169</v>
      </c>
      <c r="K20" t="str">
        <v>10120.004639/0319-51</v>
      </c>
      <c r="L20">
        <v>20</v>
      </c>
      <c r="M20">
        <v>9</v>
      </c>
      <c r="N20" t="str">
        <v>MARÍTIMO</v>
      </c>
      <c r="O20" t="str">
        <f t="shared" si="0"/>
        <v>('1905629534', 6, 'I-19/0083-MBG', 'GUINDASTE CC 2800-1', '2019-03-28', '2019-04-09', 14, 7, '201900038644169', '10120.004639/0319-51', 20, 9, 'MARÍTIMO'),</v>
      </c>
    </row>
    <row r="21" spans="2:15" x14ac:dyDescent="0.25">
      <c r="B21" s="121">
        <v>1906086887</v>
      </c>
      <c r="C21">
        <v>6</v>
      </c>
      <c r="D21" t="str">
        <v>I-19/0142-MBG</v>
      </c>
      <c r="E21" t="str">
        <v>CONTAINER OFICINA</v>
      </c>
      <c r="F21" s="115">
        <v>43559</v>
      </c>
      <c r="G21" s="115">
        <v>43564</v>
      </c>
      <c r="H21">
        <v>15</v>
      </c>
      <c r="I21">
        <v>7</v>
      </c>
      <c r="J21">
        <v>201900038679949</v>
      </c>
      <c r="K21" t="str">
        <v>10120.004638/0319-14</v>
      </c>
      <c r="L21">
        <v>20</v>
      </c>
      <c r="M21" t="str">
        <v/>
      </c>
      <c r="N21" t="str">
        <v>MARÍTIMO</v>
      </c>
      <c r="O21" t="str">
        <f t="shared" si="0"/>
        <v>('1906086887', 6, 'I-19/0142-MBG', 'CONTAINER OFICINA', '2019-04-04', '2019-04-09', 15, 7, '201900038679949', '10120.004638/0319-14', 20, , 'MARÍTIMO'),</v>
      </c>
    </row>
    <row r="22" spans="2:15" x14ac:dyDescent="0.25">
      <c r="B22" s="121">
        <v>2117294706</v>
      </c>
      <c r="C22">
        <v>6</v>
      </c>
      <c r="D22" t="str">
        <v>I-21/1419-MBG</v>
      </c>
      <c r="E22" t="str">
        <v>CC2800-1</v>
      </c>
      <c r="F22" s="115">
        <v>44449</v>
      </c>
      <c r="G22" s="115">
        <v>44459</v>
      </c>
      <c r="H22">
        <v>16</v>
      </c>
      <c r="I22">
        <v>10</v>
      </c>
      <c r="J22">
        <v>202100119592274</v>
      </c>
      <c r="K22">
        <v>0</v>
      </c>
      <c r="L22">
        <v>22</v>
      </c>
      <c r="M22">
        <v>10</v>
      </c>
      <c r="N22" t="str">
        <v>MARÍTIMO</v>
      </c>
      <c r="O22" t="str">
        <f t="shared" si="0"/>
        <v>('2117294706', 6, 'I-21/1419-MBG', 'CC2800-1', '2021-09-10', '2021-09-20', 16, 10, '202100119592274', '0', 22, 10, 'MARÍTIMO'),</v>
      </c>
    </row>
    <row r="23" spans="2:15" x14ac:dyDescent="0.25">
      <c r="B23" s="121">
        <v>2406046760</v>
      </c>
      <c r="C23">
        <v>5</v>
      </c>
      <c r="D23" t="str">
        <v>I-24/0252-MBG</v>
      </c>
      <c r="E23" t="str">
        <v>JIB</v>
      </c>
      <c r="F23" s="115">
        <v>45371</v>
      </c>
      <c r="G23" s="115">
        <v>45376</v>
      </c>
      <c r="H23">
        <v>17</v>
      </c>
      <c r="I23">
        <v>3</v>
      </c>
      <c r="J23">
        <v>202400230765378</v>
      </c>
      <c r="K23">
        <v>0</v>
      </c>
      <c r="L23">
        <v>3</v>
      </c>
      <c r="M23" t="str">
        <v/>
      </c>
      <c r="N23" t="str">
        <v>MARÍTIMO</v>
      </c>
      <c r="O23" t="str">
        <f t="shared" si="0"/>
        <v>('2406046760', 5, 'I-24/0252-MBG', 'JIB', '2024-03-20', '2024-03-25', 17, 3, '202400230765378', '0', 3, , 'MARÍTIMO'),</v>
      </c>
    </row>
    <row r="24" spans="2:15" x14ac:dyDescent="0.25">
      <c r="B24" s="121">
        <v>2210462397</v>
      </c>
      <c r="C24">
        <v>5</v>
      </c>
      <c r="D24" t="str">
        <v>I-22/0623-MBG</v>
      </c>
      <c r="E24" t="str">
        <v>CKE1100G2 - KOBELCO</v>
      </c>
      <c r="F24" s="115">
        <v>44714</v>
      </c>
      <c r="G24" s="115">
        <v>44740</v>
      </c>
      <c r="H24">
        <v>18</v>
      </c>
      <c r="I24">
        <v>6</v>
      </c>
      <c r="J24">
        <v>202200151499195</v>
      </c>
      <c r="K24">
        <v>0</v>
      </c>
      <c r="L24">
        <v>14</v>
      </c>
      <c r="M24">
        <v>11</v>
      </c>
      <c r="N24" t="str">
        <v>MARÍTIMO</v>
      </c>
      <c r="O24" t="str">
        <f t="shared" si="0"/>
        <v>('2210462397', 5, 'I-22/0623-MBG', 'CKE1100G2 - KOBELCO', '2022-06-02', '2022-06-28', 18, 6, '202200151499195', '0', 14, 11, 'MARÍTIMO'),</v>
      </c>
    </row>
    <row r="25" spans="2:15" x14ac:dyDescent="0.25">
      <c r="B25" s="121">
        <v>2210427150</v>
      </c>
      <c r="C25">
        <v>5</v>
      </c>
      <c r="D25" t="str">
        <v>I-22/0631-MBG</v>
      </c>
      <c r="E25" t="str">
        <v>LR1300</v>
      </c>
      <c r="F25" s="115">
        <v>44714</v>
      </c>
      <c r="G25" s="115">
        <v>44740</v>
      </c>
      <c r="H25">
        <v>19</v>
      </c>
      <c r="I25">
        <v>6</v>
      </c>
      <c r="J25">
        <v>202200151629293</v>
      </c>
      <c r="K25">
        <v>0</v>
      </c>
      <c r="L25">
        <v>14</v>
      </c>
      <c r="M25">
        <v>12</v>
      </c>
      <c r="N25" t="str">
        <v>MARÍTIMO</v>
      </c>
      <c r="O25" t="str">
        <f t="shared" si="0"/>
        <v>('2210427150', 5, 'I-22/0631-MBG', 'LR1300', '2022-06-02', '2022-06-28', 19, 6, '202200151629293', '0', 14, 12, 'MARÍTIMO'),</v>
      </c>
    </row>
    <row r="26" spans="2:15" x14ac:dyDescent="0.25">
      <c r="B26" s="121">
        <v>2210450267</v>
      </c>
      <c r="C26">
        <v>5</v>
      </c>
      <c r="D26" t="str">
        <v>I-22/0621-MBG</v>
      </c>
      <c r="E26" t="str">
        <v>CK1100 (KOBELCO)</v>
      </c>
      <c r="F26" s="115">
        <v>44714</v>
      </c>
      <c r="G26" s="115">
        <v>44740</v>
      </c>
      <c r="H26">
        <v>20</v>
      </c>
      <c r="I26">
        <v>6</v>
      </c>
      <c r="J26">
        <v>202200151434298</v>
      </c>
      <c r="K26">
        <v>0</v>
      </c>
      <c r="L26">
        <v>14</v>
      </c>
      <c r="M26">
        <v>13</v>
      </c>
      <c r="N26" t="str">
        <v>MARÍTIMO</v>
      </c>
      <c r="O26" t="str">
        <f t="shared" si="0"/>
        <v>('2210450267', 5, 'I-22/0621-MBG', 'CK1100 (KOBELCO)', '2022-06-02', '2022-06-28', 20, 6, '202200151434298', '0', 14, 13, 'MARÍTIMO'),</v>
      </c>
    </row>
    <row r="27" spans="2:15" x14ac:dyDescent="0.25">
      <c r="B27" s="121">
        <v>2210475103</v>
      </c>
      <c r="C27">
        <v>5</v>
      </c>
      <c r="D27" t="str">
        <v>I-22/0630-MBG</v>
      </c>
      <c r="E27" t="str">
        <v>RT890E</v>
      </c>
      <c r="F27" s="115">
        <v>44714</v>
      </c>
      <c r="G27" s="115">
        <v>44741</v>
      </c>
      <c r="H27">
        <v>21</v>
      </c>
      <c r="I27">
        <v>6</v>
      </c>
      <c r="J27">
        <v>202200151564345</v>
      </c>
      <c r="K27">
        <v>0</v>
      </c>
      <c r="L27">
        <v>14</v>
      </c>
      <c r="M27">
        <v>14</v>
      </c>
      <c r="N27" t="str">
        <v>MARÍTIMO</v>
      </c>
      <c r="O27" t="str">
        <f t="shared" si="0"/>
        <v>('2210475103', 5, 'I-22/0630-MBG', 'RT890E', '2022-06-02', '2022-06-29', 21, 6, '202200151564345', '0', 14, 14, 'MARÍTIMO'),</v>
      </c>
    </row>
    <row r="28" spans="2:15" x14ac:dyDescent="0.25">
      <c r="B28" s="121">
        <v>240006359556</v>
      </c>
      <c r="C28">
        <v>9</v>
      </c>
      <c r="D28" t="str">
        <v>E-24/0119-MRL</v>
      </c>
      <c r="E28">
        <v>0</v>
      </c>
      <c r="F28" s="115">
        <v>45399</v>
      </c>
      <c r="G28" s="115">
        <v>45413</v>
      </c>
      <c r="H28" t="str">
        <v/>
      </c>
      <c r="I28">
        <v>12</v>
      </c>
      <c r="J28">
        <v>202400233843302</v>
      </c>
      <c r="K28">
        <v>0</v>
      </c>
      <c r="L28">
        <v>28</v>
      </c>
      <c r="M28" t="str">
        <v/>
      </c>
      <c r="N28" t="str">
        <v>AÉREO</v>
      </c>
      <c r="O28" t="str">
        <f t="shared" si="0"/>
        <v>('240006359556', 9, 'E-24/0119-MRL', '0', '2024-04-17', '2024-05-01', , 12, '202400233843302', '0', 28, , 'AÉREO'),</v>
      </c>
    </row>
    <row r="29" spans="2:15" x14ac:dyDescent="0.25">
      <c r="B29" s="121">
        <v>2104031884</v>
      </c>
      <c r="C29">
        <v>5</v>
      </c>
      <c r="D29" t="str">
        <v>I-21/0242-MBG</v>
      </c>
      <c r="E29" t="str">
        <v>MID POINTS</v>
      </c>
      <c r="F29" s="115">
        <v>44256</v>
      </c>
      <c r="G29" s="115">
        <v>44263</v>
      </c>
      <c r="H29" t="str">
        <v/>
      </c>
      <c r="I29">
        <v>14</v>
      </c>
      <c r="J29">
        <v>202100101144776</v>
      </c>
      <c r="K29" t="str">
        <v>13032.193464/2021-68</v>
      </c>
      <c r="L29">
        <v>7</v>
      </c>
      <c r="M29" t="str">
        <v/>
      </c>
      <c r="N29" t="str">
        <v>AÉREO</v>
      </c>
      <c r="O29" t="str">
        <f t="shared" si="0"/>
        <v>('2104031884', 5, 'I-21/0242-MBG', 'MID POINTS', '2021-03-01', '2021-03-08', , 14, '202100101144776', '13032.193464/2021-68', 7, , 'AÉREO'),</v>
      </c>
    </row>
    <row r="30" spans="2:15" x14ac:dyDescent="0.25">
      <c r="B30" s="121">
        <v>1908940648</v>
      </c>
      <c r="C30">
        <v>5</v>
      </c>
      <c r="D30" t="str">
        <v>I-19/0475-MBG</v>
      </c>
      <c r="E30" t="str">
        <v>PENOANT</v>
      </c>
      <c r="F30" s="115">
        <v>43605</v>
      </c>
      <c r="G30" s="115">
        <v>43622</v>
      </c>
      <c r="H30" t="str">
        <v/>
      </c>
      <c r="I30">
        <v>14</v>
      </c>
      <c r="J30">
        <v>201900042372208</v>
      </c>
      <c r="K30" t="str">
        <v>10120.004974/0519-84</v>
      </c>
      <c r="L30">
        <v>30</v>
      </c>
      <c r="M30" t="str">
        <v/>
      </c>
      <c r="N30" t="str">
        <v>AÉREO</v>
      </c>
      <c r="O30" t="str">
        <f t="shared" si="0"/>
        <v>('1908940648', 5, 'I-19/0475-MBG', 'PENOANT', '2019-05-20', '2019-06-06', , 14, '201900042372208', '10120.004974/0519-84', 30, , 'AÉREO'),</v>
      </c>
    </row>
    <row r="31" spans="2:15" x14ac:dyDescent="0.25">
      <c r="B31" s="121">
        <v>2410910580</v>
      </c>
      <c r="C31">
        <v>11</v>
      </c>
      <c r="D31" t="str">
        <v>I-24/1022-VEO</v>
      </c>
      <c r="E31" t="str">
        <v>Aquaforce 7500</v>
      </c>
      <c r="F31" s="115">
        <v>45435</v>
      </c>
      <c r="G31" s="115">
        <v>45435</v>
      </c>
      <c r="H31" t="str">
        <v/>
      </c>
      <c r="I31">
        <v>12</v>
      </c>
      <c r="J31">
        <v>202400238478718</v>
      </c>
      <c r="K31">
        <v>0</v>
      </c>
      <c r="L31">
        <v>31</v>
      </c>
      <c r="M31" t="str">
        <v/>
      </c>
      <c r="N31" t="str">
        <v>AÉREO</v>
      </c>
      <c r="O31" t="str">
        <f t="shared" si="0"/>
        <v>('2410910580', 11, 'I-24/1022-VEO', 'Aquaforce 7500', '2024-05-23', '2024-05-23', , 12, '202400238478718', '0', 31, , 'AÉREO'),</v>
      </c>
    </row>
    <row r="32" spans="2:15" x14ac:dyDescent="0.25">
      <c r="B32" s="121">
        <v>230002563884</v>
      </c>
      <c r="C32">
        <v>5</v>
      </c>
      <c r="D32" t="str">
        <v>E-23/0033-MBG</v>
      </c>
      <c r="E32" t="str">
        <v>001/23</v>
      </c>
      <c r="F32" s="115">
        <v>44973</v>
      </c>
      <c r="G32" s="115">
        <v>44979</v>
      </c>
      <c r="H32" t="str">
        <v/>
      </c>
      <c r="I32">
        <v>10</v>
      </c>
      <c r="J32">
        <v>202300183358937</v>
      </c>
      <c r="K32">
        <v>0</v>
      </c>
      <c r="L32">
        <v>14</v>
      </c>
      <c r="M32" t="str">
        <v/>
      </c>
      <c r="N32" t="str">
        <v>AÉREO</v>
      </c>
      <c r="O32" t="str">
        <f t="shared" si="0"/>
        <v>('230002563884', 5, 'E-23/0033-MBG', '001/23', '2023-02-16', '2023-02-22', , 10, '202300183358937', '0', 14, , 'AÉREO'),</v>
      </c>
    </row>
    <row r="33" spans="2:15" x14ac:dyDescent="0.25">
      <c r="B33" s="121">
        <v>2210492504</v>
      </c>
      <c r="C33">
        <v>5</v>
      </c>
      <c r="D33" t="str">
        <v>I-22/0632-MBG</v>
      </c>
      <c r="E33" t="str">
        <v>PEÇAS SPMT</v>
      </c>
      <c r="F33" s="115">
        <v>44714</v>
      </c>
      <c r="G33" s="115">
        <v>44741</v>
      </c>
      <c r="H33">
        <v>22</v>
      </c>
      <c r="I33">
        <v>6</v>
      </c>
      <c r="J33">
        <v>202200151601747</v>
      </c>
      <c r="K33">
        <v>0</v>
      </c>
      <c r="L33">
        <v>33</v>
      </c>
      <c r="M33" t="str">
        <v/>
      </c>
      <c r="N33" t="str">
        <v>MARÍTIMO</v>
      </c>
      <c r="O33" t="str">
        <f t="shared" si="0"/>
        <v>('2210492504', 5, 'I-22/0632-MBG', 'PEÇAS SPMT', '2022-06-02', '2022-06-29', 22, 6, '202200151601747', '0', 33, , 'MARÍTIMO'),</v>
      </c>
    </row>
    <row r="34" spans="2:15" x14ac:dyDescent="0.25">
      <c r="B34" s="121">
        <v>2119044286</v>
      </c>
      <c r="C34">
        <v>6</v>
      </c>
      <c r="D34" t="str">
        <v>I-21/1596-MBG</v>
      </c>
      <c r="E34" t="str">
        <v>MOITAO CC2800</v>
      </c>
      <c r="F34" s="115">
        <v>44474</v>
      </c>
      <c r="G34" s="115">
        <v>44475</v>
      </c>
      <c r="H34">
        <v>23</v>
      </c>
      <c r="I34">
        <v>10</v>
      </c>
      <c r="J34">
        <v>202100123107563</v>
      </c>
      <c r="K34">
        <v>0</v>
      </c>
      <c r="L34">
        <v>34</v>
      </c>
      <c r="M34" t="str">
        <v/>
      </c>
      <c r="N34" t="str">
        <v>MARÍTIMO</v>
      </c>
      <c r="O34" t="str">
        <f t="shared" si="0"/>
        <v>('2119044286', 6, 'I-21/1596-MBG', 'MOITAO CC2800', '2021-10-05', '2021-10-06', 23, 10, '202100123107563', '0', 34, , 'MARÍTIMO'),</v>
      </c>
    </row>
    <row r="35" spans="2:15" x14ac:dyDescent="0.25">
      <c r="B35" s="121">
        <v>2106758145</v>
      </c>
      <c r="C35">
        <v>5</v>
      </c>
      <c r="D35" t="str">
        <v>I-21/0555-MBG</v>
      </c>
      <c r="E35" t="str">
        <v>ATUADRO CC2800</v>
      </c>
      <c r="F35" s="115">
        <v>44294</v>
      </c>
      <c r="G35" s="115">
        <v>44300</v>
      </c>
      <c r="H35" t="str">
        <v/>
      </c>
      <c r="I35">
        <v>14</v>
      </c>
      <c r="J35">
        <v>202100105179086</v>
      </c>
      <c r="K35">
        <v>0</v>
      </c>
      <c r="L35">
        <v>34</v>
      </c>
      <c r="M35" t="str">
        <v/>
      </c>
      <c r="N35" t="str">
        <v>AÉREO</v>
      </c>
      <c r="O35" t="str">
        <f t="shared" si="0"/>
        <v>('2106758145', 5, 'I-21/0555-MBG', 'ATUADRO CC2800', '2021-04-08', '2021-04-14', , 14, '202100105179086', '0', 34, , 'AÉREO'),</v>
      </c>
    </row>
    <row r="36" spans="2:15" x14ac:dyDescent="0.25">
      <c r="B36" s="121">
        <v>2213762170</v>
      </c>
      <c r="C36">
        <v>5</v>
      </c>
      <c r="D36" t="str">
        <v>I-22/0809-MBG</v>
      </c>
      <c r="E36">
        <v>0</v>
      </c>
      <c r="F36" s="115">
        <v>44762</v>
      </c>
      <c r="G36" s="115">
        <v>44770</v>
      </c>
      <c r="H36">
        <v>24</v>
      </c>
      <c r="I36">
        <v>4</v>
      </c>
      <c r="J36">
        <v>202200158856694</v>
      </c>
      <c r="K36">
        <v>0</v>
      </c>
      <c r="L36">
        <v>36</v>
      </c>
      <c r="M36">
        <v>15</v>
      </c>
      <c r="N36" t="str">
        <v>MARÍTIMO</v>
      </c>
      <c r="O36" t="str">
        <f t="shared" si="0"/>
        <v>('2213762170', 5, 'I-22/0809-MBG', '0', '2022-07-20', '2022-07-28', 24, 4, '202200158856694', '0', 36, 15, 'MARÍTIMO'),</v>
      </c>
    </row>
    <row r="37" spans="2:15" x14ac:dyDescent="0.25">
      <c r="B37" s="121">
        <v>2216549737</v>
      </c>
      <c r="C37">
        <v>5</v>
      </c>
      <c r="D37" t="str">
        <v>I-22/0688-MBG</v>
      </c>
      <c r="E37" t="str">
        <v>SPMT (REP. DOMINICANA)</v>
      </c>
      <c r="F37" s="115">
        <v>44798</v>
      </c>
      <c r="G37" s="115">
        <v>44826</v>
      </c>
      <c r="H37">
        <v>25</v>
      </c>
      <c r="I37">
        <v>3</v>
      </c>
      <c r="J37">
        <v>202200163555567</v>
      </c>
      <c r="K37">
        <v>0</v>
      </c>
      <c r="L37">
        <v>14</v>
      </c>
      <c r="M37">
        <v>16</v>
      </c>
      <c r="N37" t="str">
        <v>MARÍTIMO</v>
      </c>
      <c r="O37" t="str">
        <f t="shared" si="0"/>
        <v>('2216549737', 5, 'I-22/0688-MBG', 'SPMT (REP. DOMINICANA)', '2022-08-25', '2022-09-22', 25, 3, '202200163555567', '0', 14, 16, 'MARÍTIMO'),</v>
      </c>
    </row>
    <row r="38" spans="2:15" x14ac:dyDescent="0.25">
      <c r="B38" s="121">
        <v>2422306844</v>
      </c>
      <c r="C38">
        <v>2</v>
      </c>
      <c r="D38" t="str">
        <v>I-24/2191-DTE</v>
      </c>
      <c r="E38" t="str">
        <v>DRAGA LINDWAY</v>
      </c>
      <c r="F38" s="115">
        <v>45576</v>
      </c>
      <c r="G38" s="115">
        <v>45579</v>
      </c>
      <c r="H38" t="str">
        <v/>
      </c>
      <c r="I38">
        <v>18</v>
      </c>
      <c r="J38">
        <v>202400256103291</v>
      </c>
      <c r="K38">
        <v>0</v>
      </c>
      <c r="L38">
        <v>38</v>
      </c>
      <c r="M38" t="str">
        <v/>
      </c>
      <c r="N38" t="str">
        <v>MEIOS PRÓPRIOS</v>
      </c>
      <c r="O38" t="str">
        <f t="shared" si="0"/>
        <v>('2422306844', 2, 'I-24/2191-DTE', 'DRAGA LINDWAY', '2024-10-11', '2024-10-14', , 18, '202400256103291', '0', 38, , 'MEIOS PRÓPRIOS'),</v>
      </c>
    </row>
    <row r="39" spans="2:15" x14ac:dyDescent="0.25">
      <c r="B39" s="121">
        <v>2316367940</v>
      </c>
      <c r="C39">
        <v>10</v>
      </c>
      <c r="D39" t="str">
        <v>I-23/0861-TRA</v>
      </c>
      <c r="E39" t="str">
        <v>ADM TEMP M18000</v>
      </c>
      <c r="F39" s="115">
        <v>45159</v>
      </c>
      <c r="G39" s="115">
        <v>45168</v>
      </c>
      <c r="H39">
        <v>26</v>
      </c>
      <c r="I39">
        <v>7</v>
      </c>
      <c r="J39">
        <v>202300205397590</v>
      </c>
      <c r="K39">
        <v>0</v>
      </c>
      <c r="L39">
        <v>39</v>
      </c>
      <c r="M39">
        <v>17</v>
      </c>
      <c r="N39" t="str">
        <v>MARÍTIMO</v>
      </c>
      <c r="O39" t="str">
        <f t="shared" si="0"/>
        <v>('2316367940', 10, 'I-23/0861-TRA', 'ADM TEMP M18000', '2023-08-21', '2023-08-30', 26, 7, '202300205397590', '0', 39, 17, 'MARÍTIMO'),</v>
      </c>
    </row>
    <row r="40" spans="2:15" x14ac:dyDescent="0.25">
      <c r="B40" s="121">
        <v>2420073435</v>
      </c>
      <c r="C40">
        <v>7</v>
      </c>
      <c r="D40" t="str">
        <v>I-24/1189-TOY</v>
      </c>
      <c r="E40" t="str">
        <v>TRN030</v>
      </c>
      <c r="F40" s="115">
        <v>45551</v>
      </c>
      <c r="G40" s="115">
        <v>45553</v>
      </c>
      <c r="H40" t="str">
        <v/>
      </c>
      <c r="I40">
        <v>2</v>
      </c>
      <c r="J40">
        <v>202400252826140</v>
      </c>
      <c r="K40">
        <v>0</v>
      </c>
      <c r="L40">
        <v>40</v>
      </c>
      <c r="M40" t="str">
        <v/>
      </c>
      <c r="N40" t="str">
        <v>AÉREO</v>
      </c>
      <c r="O40" t="str">
        <f t="shared" si="0"/>
        <v>('2420073435', 7, 'I-24/1189-TOY', 'TRN030', '2024-09-16', '2024-09-18', , 2, '202400252826140', '0', 40, , 'AÉREO'),</v>
      </c>
    </row>
    <row r="41" spans="2:15" x14ac:dyDescent="0.25">
      <c r="B41" s="121">
        <v>2425413366</v>
      </c>
      <c r="C41">
        <v>11</v>
      </c>
      <c r="D41" t="str">
        <v>I-24/1826-VEO</v>
      </c>
      <c r="E41" t="str">
        <v>PILOT TEST PETROBRÁS</v>
      </c>
      <c r="F41" s="115">
        <v>45615</v>
      </c>
      <c r="G41" s="115">
        <v>45615</v>
      </c>
      <c r="H41">
        <v>27</v>
      </c>
      <c r="I41">
        <v>19</v>
      </c>
      <c r="J41">
        <v>202400261377728</v>
      </c>
      <c r="K41">
        <v>0</v>
      </c>
      <c r="L41">
        <v>31</v>
      </c>
      <c r="M41" t="str">
        <v/>
      </c>
      <c r="N41" t="str">
        <v>MARÍTIMO</v>
      </c>
      <c r="O41" t="str">
        <f t="shared" si="0"/>
        <v>('2425413366', 11, 'I-24/1826-VEO', 'PILOT TEST PETROBRÁS', '2024-11-19', '2024-11-19', 27, 19, '202400261377728', '0', 31, , 'MARÍTIMO'),</v>
      </c>
    </row>
    <row r="42" spans="2:15" x14ac:dyDescent="0.25">
      <c r="B42" s="121">
        <v>2319009484</v>
      </c>
      <c r="C42">
        <v>8</v>
      </c>
      <c r="D42" t="str">
        <v>I-23/1919-MIT</v>
      </c>
      <c r="E42" t="str">
        <v>TL 58415</v>
      </c>
      <c r="F42" s="115">
        <v>45195</v>
      </c>
      <c r="G42" s="115">
        <v>45208</v>
      </c>
      <c r="H42" t="str">
        <v/>
      </c>
      <c r="I42">
        <v>12</v>
      </c>
      <c r="J42">
        <v>202300209954280</v>
      </c>
      <c r="K42">
        <v>0</v>
      </c>
      <c r="L42">
        <v>42</v>
      </c>
      <c r="M42">
        <v>18</v>
      </c>
      <c r="N42" t="str">
        <v>AÉREO</v>
      </c>
      <c r="O42" t="str">
        <f t="shared" si="0"/>
        <v>('2319009484', 8, 'I-23/1919-MIT', 'TL 58415', '2023-09-26', '2023-10-09', , 12, '202300209954280', '0', 42, 18, 'AÉREO'),</v>
      </c>
    </row>
    <row r="43" spans="2:15" x14ac:dyDescent="0.25">
      <c r="B43" s="121">
        <v>2321191189</v>
      </c>
      <c r="C43">
        <v>10</v>
      </c>
      <c r="D43" t="str">
        <v>I-23/1722-TRA</v>
      </c>
      <c r="E43" t="str">
        <v>PPU + SPTM</v>
      </c>
      <c r="F43" s="115">
        <v>45225</v>
      </c>
      <c r="G43" s="115">
        <v>45243</v>
      </c>
      <c r="H43">
        <v>28</v>
      </c>
      <c r="I43">
        <v>10</v>
      </c>
      <c r="J43">
        <v>202300214163318</v>
      </c>
      <c r="K43">
        <v>0</v>
      </c>
      <c r="L43">
        <v>43</v>
      </c>
      <c r="M43">
        <v>19</v>
      </c>
      <c r="N43" t="str">
        <v>MARÍTIMO</v>
      </c>
      <c r="O43" t="str">
        <f t="shared" si="0"/>
        <v>('2321191189', 10, 'I-23/1722-TRA', 'PPU + SPTM', '2023-10-26', '2023-11-13', 28, 10, '202300214163318', '0', 43, 19, 'MARÍTIMO'),</v>
      </c>
    </row>
    <row r="44" spans="2:15" x14ac:dyDescent="0.25">
      <c r="B44" s="121">
        <v>2119807018</v>
      </c>
      <c r="C44">
        <v>1</v>
      </c>
      <c r="D44" t="str">
        <v>I-21/1334-MEG</v>
      </c>
      <c r="E44" t="str">
        <v>WS21-1</v>
      </c>
      <c r="F44" s="115">
        <v>44484</v>
      </c>
      <c r="G44" s="115">
        <v>44495</v>
      </c>
      <c r="H44">
        <v>29</v>
      </c>
      <c r="I44">
        <v>11</v>
      </c>
      <c r="J44">
        <v>202100116268220</v>
      </c>
      <c r="K44">
        <v>0</v>
      </c>
      <c r="L44">
        <v>44</v>
      </c>
      <c r="M44" t="str">
        <v/>
      </c>
      <c r="N44" t="str">
        <v>MARÍTIMO</v>
      </c>
      <c r="O44" t="str">
        <f t="shared" si="0"/>
        <v>('2119807018', 1, 'I-21/1334-MEG', 'WS21-1', '2021-10-15', '2021-10-26', 29, 11, '202100116268220', '0', 44, , 'MARÍTIMO'),</v>
      </c>
    </row>
    <row r="45" spans="2:15" x14ac:dyDescent="0.25">
      <c r="B45" s="121">
        <v>1802261224</v>
      </c>
      <c r="C45">
        <v>1</v>
      </c>
      <c r="D45" t="str">
        <v>I-17/1964-MEG</v>
      </c>
      <c r="E45" t="str">
        <v>US17-2</v>
      </c>
      <c r="F45" s="115">
        <v>43136</v>
      </c>
      <c r="G45" s="115">
        <v>43140</v>
      </c>
      <c r="H45">
        <v>30</v>
      </c>
      <c r="I45">
        <v>11</v>
      </c>
      <c r="J45">
        <v>201800018565140</v>
      </c>
      <c r="K45" t="str">
        <v>10010.005227/0118-79</v>
      </c>
      <c r="L45">
        <v>45</v>
      </c>
      <c r="M45" t="str">
        <v/>
      </c>
      <c r="N45" t="str">
        <v>MARÍTIMO</v>
      </c>
      <c r="O45" t="str">
        <f t="shared" si="0"/>
        <v>('1802261224', 1, 'I-17/1964-MEG', 'US17-2', '2018-02-05', '2018-02-09', 30, 11, '201800018565140', '10010.005227/0118-79', 45, , 'MARÍTIMO'),</v>
      </c>
    </row>
    <row r="46" spans="2:15" x14ac:dyDescent="0.25">
      <c r="B46" s="121">
        <v>2418067180</v>
      </c>
      <c r="C46">
        <v>10</v>
      </c>
      <c r="D46" t="str">
        <v>I-24/1778-TRA</v>
      </c>
      <c r="E46" t="str">
        <v>MOITÃO</v>
      </c>
      <c r="F46" s="115">
        <v>45526</v>
      </c>
      <c r="G46" s="115">
        <v>45530</v>
      </c>
      <c r="H46">
        <v>31</v>
      </c>
      <c r="I46">
        <v>9</v>
      </c>
      <c r="J46">
        <v>202400249262029</v>
      </c>
      <c r="K46">
        <v>0</v>
      </c>
      <c r="L46">
        <v>39</v>
      </c>
      <c r="M46" t="str">
        <v/>
      </c>
      <c r="N46" t="str">
        <v>MARÍTIMO</v>
      </c>
      <c r="O46" t="str">
        <f t="shared" si="0"/>
        <v>('2418067180', 10, 'I-24/1778-TRA', 'MOITÃO', '2024-08-22', '2024-08-26', 31, 9, '202400249262029', '0', 39, , 'MARÍTIMO'),</v>
      </c>
    </row>
    <row r="47" spans="2:15" x14ac:dyDescent="0.25">
      <c r="B47" s="121">
        <v>2310336557</v>
      </c>
      <c r="C47">
        <v>3</v>
      </c>
      <c r="D47" t="str">
        <v>I-24/0782-BWL</v>
      </c>
      <c r="E47" t="str">
        <v>ADM TEMP</v>
      </c>
      <c r="F47" s="115">
        <v>45427</v>
      </c>
      <c r="G47" s="115">
        <v>45434</v>
      </c>
      <c r="H47" t="str">
        <v/>
      </c>
      <c r="I47">
        <v>19</v>
      </c>
      <c r="J47">
        <v>202400237510057</v>
      </c>
      <c r="K47">
        <v>0</v>
      </c>
      <c r="L47">
        <v>47</v>
      </c>
      <c r="M47" t="str">
        <v/>
      </c>
      <c r="N47" t="str">
        <v>AÉREO</v>
      </c>
      <c r="O47" t="str">
        <f t="shared" si="0"/>
        <v>('2310336557', 3, 'I-24/0782-BWL', 'ADM TEMP', '2024-05-15', '2024-05-22', , 19, '202400237510057', '0', 47, , 'AÉREO'),</v>
      </c>
    </row>
    <row r="48" spans="2:15" x14ac:dyDescent="0.25">
      <c r="B48" s="121">
        <v>2225695775</v>
      </c>
      <c r="C48">
        <v>1</v>
      </c>
      <c r="D48" t="str">
        <v>I-22/1926-MEG</v>
      </c>
      <c r="E48" t="str">
        <v>PFWS22-4</v>
      </c>
      <c r="F48" s="115">
        <v>44922</v>
      </c>
      <c r="G48" s="115">
        <v>44925</v>
      </c>
      <c r="H48">
        <v>32</v>
      </c>
      <c r="I48">
        <v>16</v>
      </c>
      <c r="J48">
        <v>202200177701960</v>
      </c>
      <c r="K48">
        <v>0</v>
      </c>
      <c r="L48">
        <v>48</v>
      </c>
      <c r="M48" t="str">
        <v/>
      </c>
      <c r="N48" t="str">
        <v>MARÍTIMO</v>
      </c>
      <c r="O48" t="str">
        <f t="shared" si="0"/>
        <v>('2225695775', 1, 'I-22/1926-MEG', 'PFWS22-4', '2022-12-27', '2022-12-30', 32, 16, '202200177701960', '0', 48, , 'MARÍTIMO'),</v>
      </c>
    </row>
    <row r="49" spans="2:15" x14ac:dyDescent="0.25">
      <c r="B49" s="121">
        <v>2300245000</v>
      </c>
      <c r="C49">
        <v>1</v>
      </c>
      <c r="D49" t="str">
        <v>I-22/1689-MEG</v>
      </c>
      <c r="E49" t="str">
        <v>WS22-3VEICULO</v>
      </c>
      <c r="F49" s="115">
        <v>44930</v>
      </c>
      <c r="G49" s="115">
        <v>44935</v>
      </c>
      <c r="H49">
        <v>33</v>
      </c>
      <c r="I49">
        <v>16</v>
      </c>
      <c r="J49">
        <v>202300178529346</v>
      </c>
      <c r="K49">
        <v>0</v>
      </c>
      <c r="L49">
        <v>49</v>
      </c>
      <c r="M49" t="str">
        <v/>
      </c>
      <c r="N49" t="str">
        <v>MARÍTIMO</v>
      </c>
      <c r="O49" t="str">
        <f t="shared" si="0"/>
        <v>('2300245000', 1, 'I-22/1689-MEG', 'WS22-3VEICULO', '2023-01-04', '2023-01-09', 33, 16, '202300178529346', '0', 49, , 'MARÍTIMO'),</v>
      </c>
    </row>
    <row r="50" spans="2:15" x14ac:dyDescent="0.25">
      <c r="B50" s="121">
        <v>1102552358</v>
      </c>
      <c r="C50">
        <v>1</v>
      </c>
      <c r="D50" t="str">
        <v>I-10/1287-MEG</v>
      </c>
      <c r="E50" t="str">
        <v>DIETHELM WS 102</v>
      </c>
      <c r="F50" s="115">
        <v>40583</v>
      </c>
      <c r="G50" s="115">
        <v>40588</v>
      </c>
      <c r="H50" t="str">
        <v/>
      </c>
      <c r="I50">
        <v>15</v>
      </c>
      <c r="J50">
        <v>0</v>
      </c>
      <c r="K50" t="str">
        <v>10314.002198/2011-47</v>
      </c>
      <c r="L50">
        <v>50</v>
      </c>
      <c r="M50" t="str">
        <v/>
      </c>
      <c r="N50" t="str">
        <v>MEIOS PRÓPRIOS</v>
      </c>
      <c r="O50" t="str">
        <f t="shared" si="0"/>
        <v>('1102552358', 1, 'I-10/1287-MEG', 'DIETHELM WS 102', '2011-02-09', '2011-02-14', , 15, '0', '10314.002198/2011-47', 50, , 'MEIOS PRÓPRIOS'),</v>
      </c>
    </row>
    <row r="51" spans="2:15" x14ac:dyDescent="0.25">
      <c r="B51" s="121">
        <v>1102548903</v>
      </c>
      <c r="C51">
        <v>1</v>
      </c>
      <c r="D51" t="str">
        <v>I-10/1199-MEG</v>
      </c>
      <c r="E51" t="str">
        <v>DIETHELM WS 101</v>
      </c>
      <c r="F51" s="115">
        <v>40583</v>
      </c>
      <c r="G51" s="115">
        <v>40588</v>
      </c>
      <c r="H51" t="str">
        <v/>
      </c>
      <c r="I51">
        <v>15</v>
      </c>
      <c r="J51">
        <v>0</v>
      </c>
      <c r="K51" t="str">
        <v>10314.002197/2011-01</v>
      </c>
      <c r="L51">
        <v>51</v>
      </c>
      <c r="M51" t="str">
        <v/>
      </c>
      <c r="N51" t="str">
        <v>MEIOS PRÓPRIOS</v>
      </c>
      <c r="O51" t="str">
        <f t="shared" si="0"/>
        <v>('1102548903', 1, 'I-10/1199-MEG', 'DIETHELM WS 101', '2011-02-09', '2011-02-14', , 15, '0', '10314.002197/2011-01', 51, , 'MEIOS PRÓPRIOS'),</v>
      </c>
    </row>
    <row r="52" spans="2:15" x14ac:dyDescent="0.25">
      <c r="B52" s="121">
        <v>1919661001</v>
      </c>
      <c r="C52">
        <v>1</v>
      </c>
      <c r="D52" t="str">
        <v>I-19/1042-MEG</v>
      </c>
      <c r="E52" t="str">
        <v>PFWS19-2</v>
      </c>
      <c r="F52" s="115">
        <v>43761</v>
      </c>
      <c r="G52" s="115">
        <v>43763</v>
      </c>
      <c r="H52">
        <v>34</v>
      </c>
      <c r="I52">
        <v>11</v>
      </c>
      <c r="J52">
        <v>201900055854940</v>
      </c>
      <c r="K52" t="str">
        <v>10010.079669/0919-44</v>
      </c>
      <c r="L52">
        <v>52</v>
      </c>
      <c r="M52" t="str">
        <v/>
      </c>
      <c r="N52" t="str">
        <v>MARÍTIMO</v>
      </c>
      <c r="O52" t="str">
        <f t="shared" si="0"/>
        <v>('1919661001', 1, 'I-19/1042-MEG', 'PFWS19-2', '2019-10-23', '2019-10-25', 34, 11, '201900055854940', '10010.079669/0919-44', 52, , 'MARÍTIMO'),</v>
      </c>
    </row>
    <row r="53" spans="2:15" x14ac:dyDescent="0.25">
      <c r="B53" s="121">
        <v>2323396780</v>
      </c>
      <c r="C53">
        <v>1</v>
      </c>
      <c r="D53" t="str">
        <v>I-23/1812-MEG</v>
      </c>
      <c r="E53" t="str">
        <v>ADM</v>
      </c>
      <c r="F53" s="115">
        <v>45258</v>
      </c>
      <c r="G53" s="115">
        <v>45259</v>
      </c>
      <c r="H53">
        <v>35</v>
      </c>
      <c r="I53">
        <v>16</v>
      </c>
      <c r="J53">
        <v>202300217735169</v>
      </c>
      <c r="K53">
        <v>0</v>
      </c>
      <c r="L53">
        <v>53</v>
      </c>
      <c r="M53" t="str">
        <v/>
      </c>
      <c r="N53" t="str">
        <v>MARÍTIMO</v>
      </c>
      <c r="O53" t="str">
        <f t="shared" si="0"/>
        <v>('2323396780', 1, 'I-23/1812-MEG', 'ADM', '2023-11-28', '2023-11-29', 35, 16, '202300217735169', '0', 53, , 'MARÍTIMO'),</v>
      </c>
    </row>
    <row r="54" spans="2:15" x14ac:dyDescent="0.25">
      <c r="B54" s="121">
        <v>2323376321</v>
      </c>
      <c r="C54">
        <v>1</v>
      </c>
      <c r="D54" t="str">
        <v>I-23/1653-MEG</v>
      </c>
      <c r="E54" t="str">
        <v>WS23-1</v>
      </c>
      <c r="F54" s="115">
        <v>44953</v>
      </c>
      <c r="G54" s="115">
        <v>45261</v>
      </c>
      <c r="H54">
        <v>36</v>
      </c>
      <c r="I54">
        <v>16</v>
      </c>
      <c r="J54">
        <v>202300217734367</v>
      </c>
      <c r="K54">
        <v>0</v>
      </c>
      <c r="L54">
        <v>54</v>
      </c>
      <c r="M54" t="str">
        <v/>
      </c>
      <c r="N54" t="str">
        <v>MARÍTIMO</v>
      </c>
      <c r="O54" t="str">
        <f t="shared" si="0"/>
        <v>('2323376321', 1, 'I-23/1653-MEG', 'WS23-1', '2023-01-27', '2023-12-01', 36, 16, '202300217734367', '0', 54, , 'MARÍTIMO'),</v>
      </c>
    </row>
    <row r="55" spans="2:15" x14ac:dyDescent="0.25">
      <c r="B55" s="121">
        <v>2417609524</v>
      </c>
      <c r="C55">
        <v>1</v>
      </c>
      <c r="D55" t="str">
        <v>I-24/0785-MEG</v>
      </c>
      <c r="E55" t="str">
        <v>WS24-1</v>
      </c>
      <c r="F55" s="115">
        <v>45520</v>
      </c>
      <c r="G55" s="115">
        <v>45525</v>
      </c>
      <c r="H55">
        <v>37</v>
      </c>
      <c r="I55">
        <v>16</v>
      </c>
      <c r="J55">
        <v>202400248810936</v>
      </c>
      <c r="K55">
        <v>0</v>
      </c>
      <c r="L55">
        <v>55</v>
      </c>
      <c r="M55" t="str">
        <v/>
      </c>
      <c r="N55" t="str">
        <v>MARÍTIMO</v>
      </c>
      <c r="O55" t="str">
        <f t="shared" si="0"/>
        <v>('2417609524', 1, 'I-24/0785-MEG', 'WS24-1', '2024-08-16', '2024-08-21', 37, 16, '202400248810936', '0', 55, , 'MARÍTIMO'),</v>
      </c>
    </row>
    <row r="70" spans="5:6" x14ac:dyDescent="0.25">
      <c r="E70" t="s">
        <v>533</v>
      </c>
      <c r="F70">
        <f>LEN(E70)</f>
        <v>14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96E92-D89F-4191-91A0-C7CC06F621CE}">
  <sheetPr>
    <tabColor theme="4"/>
  </sheetPr>
  <dimension ref="A1:I55"/>
  <sheetViews>
    <sheetView workbookViewId="0">
      <selection activeCell="H1" sqref="H1"/>
    </sheetView>
  </sheetViews>
  <sheetFormatPr defaultRowHeight="15" x14ac:dyDescent="0.25"/>
  <cols>
    <col min="1" max="1" width="16.85546875" bestFit="1" customWidth="1"/>
    <col min="2" max="2" width="14.5703125" bestFit="1" customWidth="1"/>
    <col min="3" max="3" width="10.140625" bestFit="1" customWidth="1"/>
    <col min="4" max="4" width="18.5703125" bestFit="1" customWidth="1"/>
    <col min="5" max="5" width="12" bestFit="1" customWidth="1"/>
    <col min="9" max="9" width="16.140625" bestFit="1" customWidth="1"/>
  </cols>
  <sheetData>
    <row r="1" spans="1:9" x14ac:dyDescent="0.25">
      <c r="C1" t="s">
        <v>429</v>
      </c>
      <c r="D1" t="s">
        <v>430</v>
      </c>
    </row>
    <row r="2" spans="1:9" x14ac:dyDescent="0.25">
      <c r="A2" t="s">
        <v>19</v>
      </c>
      <c r="B2" t="s">
        <v>20</v>
      </c>
      <c r="C2" t="str" cm="1">
        <f t="array" ref="C2:C55">_xlfn.XLOOKUP(B2:B55,Main!D3:D56,Main!F3:F56)</f>
        <v>SUSPENSA</v>
      </c>
      <c r="D2" s="117" cm="1">
        <f t="array" ref="D2:D55">_xlfn.XLOOKUP(B2:B55,Main!D3:D56,Main!G3:G56)</f>
        <v>72205154296309</v>
      </c>
      <c r="E2" t="str">
        <f>IF(C2=0,"","('"&amp;C2&amp;"', '"&amp;TEXT(D2,"000000000000000")&amp;"'),")</f>
        <v>('SUSPENSA', '072205154296309'),</v>
      </c>
      <c r="H2" cm="1">
        <f t="array" ref="H2:H38">_xlfn.SEQUENCE(COUNTA(I2:I38))</f>
        <v>1</v>
      </c>
      <c r="I2" s="117">
        <v>72205154296309</v>
      </c>
    </row>
    <row r="3" spans="1:9" x14ac:dyDescent="0.25">
      <c r="A3" t="s">
        <v>19</v>
      </c>
      <c r="B3" t="s">
        <v>27</v>
      </c>
      <c r="C3" t="str">
        <v>SUSPENSA</v>
      </c>
      <c r="D3" s="117">
        <v>72405061514983</v>
      </c>
      <c r="E3" t="str">
        <f t="shared" ref="E3:E55" si="0">IF(C3=0,"","('"&amp;C3&amp;"', '"&amp;TEXT(D3,"000000000000000")&amp;"'),")</f>
        <v>('SUSPENSA', '072405061514983'),</v>
      </c>
      <c r="H3">
        <v>2</v>
      </c>
      <c r="I3" s="117">
        <v>72405061514983</v>
      </c>
    </row>
    <row r="4" spans="1:9" x14ac:dyDescent="0.25">
      <c r="A4" t="s">
        <v>19</v>
      </c>
      <c r="B4" t="s">
        <v>34</v>
      </c>
      <c r="C4" t="str">
        <v>SUSPENSA</v>
      </c>
      <c r="D4" s="117">
        <v>72205156943263</v>
      </c>
      <c r="E4" t="str">
        <f t="shared" si="0"/>
        <v>('SUSPENSA', '072205156943263'),</v>
      </c>
      <c r="H4">
        <v>3</v>
      </c>
      <c r="I4" s="117">
        <v>72205156943263</v>
      </c>
    </row>
    <row r="5" spans="1:9" x14ac:dyDescent="0.25">
      <c r="A5" t="s">
        <v>19</v>
      </c>
      <c r="B5" t="s">
        <v>38</v>
      </c>
      <c r="C5" t="str">
        <v>SUSPENSA</v>
      </c>
      <c r="D5" s="117">
        <v>102205138266757</v>
      </c>
      <c r="E5" t="str">
        <f t="shared" si="0"/>
        <v>('SUSPENSA', '102205138266757'),</v>
      </c>
      <c r="H5">
        <v>4</v>
      </c>
      <c r="I5" s="117">
        <v>102205138266757</v>
      </c>
    </row>
    <row r="6" spans="1:9" x14ac:dyDescent="0.25">
      <c r="A6" t="s">
        <v>45</v>
      </c>
      <c r="B6" t="s">
        <v>46</v>
      </c>
      <c r="C6">
        <v>0</v>
      </c>
      <c r="D6" s="117">
        <v>0</v>
      </c>
      <c r="E6" t="str">
        <f t="shared" si="0"/>
        <v/>
      </c>
      <c r="H6">
        <v>5</v>
      </c>
      <c r="I6" s="117">
        <v>72105117508099</v>
      </c>
    </row>
    <row r="7" spans="1:9" x14ac:dyDescent="0.25">
      <c r="A7" t="s">
        <v>19</v>
      </c>
      <c r="B7" t="s">
        <v>53</v>
      </c>
      <c r="C7" t="str">
        <v>PAGA</v>
      </c>
      <c r="D7" s="117">
        <v>72105117508099</v>
      </c>
      <c r="E7" t="str">
        <f t="shared" si="0"/>
        <v>('PAGA', '072105117508099'),</v>
      </c>
      <c r="H7">
        <v>6</v>
      </c>
      <c r="I7" s="117">
        <v>152005271192929</v>
      </c>
    </row>
    <row r="8" spans="1:9" x14ac:dyDescent="0.25">
      <c r="A8" t="s">
        <v>60</v>
      </c>
      <c r="B8" t="s">
        <v>61</v>
      </c>
      <c r="C8">
        <v>0</v>
      </c>
      <c r="D8" s="117">
        <v>0</v>
      </c>
      <c r="E8" t="str">
        <f t="shared" si="0"/>
        <v/>
      </c>
      <c r="H8">
        <v>7</v>
      </c>
      <c r="I8" s="117">
        <v>132105065072039</v>
      </c>
    </row>
    <row r="9" spans="1:9" x14ac:dyDescent="0.25">
      <c r="A9" t="s">
        <v>67</v>
      </c>
      <c r="B9" t="s">
        <v>68</v>
      </c>
      <c r="C9" t="str">
        <v>PAGA</v>
      </c>
      <c r="D9" s="117">
        <v>152005271192929</v>
      </c>
      <c r="E9" t="str">
        <f t="shared" si="0"/>
        <v>('PAGA', '152005271192929'),</v>
      </c>
      <c r="H9">
        <v>8</v>
      </c>
      <c r="I9" s="117">
        <v>132305053620239</v>
      </c>
    </row>
    <row r="10" spans="1:9" x14ac:dyDescent="0.25">
      <c r="A10" t="s">
        <v>45</v>
      </c>
      <c r="B10" t="s">
        <v>74</v>
      </c>
      <c r="C10">
        <v>0</v>
      </c>
      <c r="D10" s="117">
        <v>0</v>
      </c>
      <c r="E10" t="str">
        <f t="shared" si="0"/>
        <v/>
      </c>
      <c r="H10">
        <v>9</v>
      </c>
      <c r="I10" s="117">
        <v>132305077973964</v>
      </c>
    </row>
    <row r="11" spans="1:9" x14ac:dyDescent="0.25">
      <c r="A11" t="s">
        <v>80</v>
      </c>
      <c r="B11" t="s">
        <v>81</v>
      </c>
      <c r="C11">
        <v>0</v>
      </c>
      <c r="D11" s="117">
        <v>0</v>
      </c>
      <c r="E11" t="str">
        <f t="shared" si="0"/>
        <v/>
      </c>
      <c r="H11">
        <v>10</v>
      </c>
      <c r="I11" s="117">
        <v>162205256553652</v>
      </c>
    </row>
    <row r="12" spans="1:9" x14ac:dyDescent="0.25">
      <c r="A12" t="s">
        <v>80</v>
      </c>
      <c r="B12" t="s">
        <v>85</v>
      </c>
      <c r="C12">
        <v>0</v>
      </c>
      <c r="D12" s="117">
        <v>0</v>
      </c>
      <c r="E12" t="str">
        <f t="shared" si="0"/>
        <v/>
      </c>
      <c r="H12">
        <v>11</v>
      </c>
      <c r="I12" s="117">
        <v>132205315120298</v>
      </c>
    </row>
    <row r="13" spans="1:9" x14ac:dyDescent="0.25">
      <c r="A13" t="s">
        <v>19</v>
      </c>
      <c r="B13" t="s">
        <v>89</v>
      </c>
      <c r="C13" t="str">
        <v>PAGA</v>
      </c>
      <c r="D13" s="117">
        <v>132105065072039</v>
      </c>
      <c r="E13" t="str">
        <f t="shared" si="0"/>
        <v>('PAGA', '132105065072039'),</v>
      </c>
      <c r="H13">
        <v>12</v>
      </c>
      <c r="I13" s="117">
        <v>132105211325331</v>
      </c>
    </row>
    <row r="14" spans="1:9" x14ac:dyDescent="0.25">
      <c r="A14" t="s">
        <v>19</v>
      </c>
      <c r="B14" t="s">
        <v>95</v>
      </c>
      <c r="C14" t="str">
        <v>SUSPENSA</v>
      </c>
      <c r="D14" s="117">
        <v>132305053620239</v>
      </c>
      <c r="E14" t="str">
        <f t="shared" si="0"/>
        <v>('SUSPENSA', '132305053620239'),</v>
      </c>
      <c r="H14">
        <v>13</v>
      </c>
      <c r="I14" s="117">
        <v>131705281227807</v>
      </c>
    </row>
    <row r="15" spans="1:9" x14ac:dyDescent="0.25">
      <c r="A15" t="s">
        <v>19</v>
      </c>
      <c r="B15" t="s">
        <v>101</v>
      </c>
      <c r="C15" t="str">
        <v>SUSPENSA</v>
      </c>
      <c r="D15" s="117">
        <v>132305077973964</v>
      </c>
      <c r="E15" t="str">
        <f t="shared" si="0"/>
        <v>('SUSPENSA', '132305077973964'),</v>
      </c>
      <c r="H15">
        <v>14</v>
      </c>
      <c r="I15" s="117">
        <v>131905052962183</v>
      </c>
    </row>
    <row r="16" spans="1:9" x14ac:dyDescent="0.25">
      <c r="A16" t="s">
        <v>19</v>
      </c>
      <c r="B16" t="s">
        <v>105</v>
      </c>
      <c r="C16" t="str">
        <v>SUSPENSA</v>
      </c>
      <c r="D16" s="117">
        <v>162205256553652</v>
      </c>
      <c r="E16" t="str">
        <f t="shared" si="0"/>
        <v>('SUSPENSA', '162205256553652'),</v>
      </c>
      <c r="H16">
        <v>15</v>
      </c>
      <c r="I16" s="117">
        <v>131905052962345</v>
      </c>
    </row>
    <row r="17" spans="1:9" x14ac:dyDescent="0.25">
      <c r="A17" t="s">
        <v>19</v>
      </c>
      <c r="B17" t="s">
        <v>111</v>
      </c>
      <c r="C17" t="str">
        <v>SUSPENSA</v>
      </c>
      <c r="D17" s="117">
        <v>132205315120298</v>
      </c>
      <c r="E17" t="str">
        <f t="shared" si="0"/>
        <v>('SUSPENSA', '132205315120298'),</v>
      </c>
      <c r="H17">
        <v>16</v>
      </c>
      <c r="I17" s="117">
        <v>132105211325412</v>
      </c>
    </row>
    <row r="18" spans="1:9" x14ac:dyDescent="0.25">
      <c r="A18" t="s">
        <v>19</v>
      </c>
      <c r="B18" t="s">
        <v>117</v>
      </c>
      <c r="C18" t="str">
        <v>SUSPENSA</v>
      </c>
      <c r="D18" s="117">
        <v>132105211325331</v>
      </c>
      <c r="E18" t="str">
        <f t="shared" si="0"/>
        <v>('SUSPENSA', '132105211325331'),</v>
      </c>
      <c r="H18">
        <v>17</v>
      </c>
      <c r="I18" s="117">
        <v>72405055138258</v>
      </c>
    </row>
    <row r="19" spans="1:9" x14ac:dyDescent="0.25">
      <c r="A19" t="s">
        <v>19</v>
      </c>
      <c r="B19" t="s">
        <v>122</v>
      </c>
      <c r="C19" t="str">
        <v>SUSPENSA</v>
      </c>
      <c r="D19" s="117">
        <v>131705281227807</v>
      </c>
      <c r="E19" t="str">
        <f t="shared" si="0"/>
        <v>('SUSPENSA', '131705281227807'),</v>
      </c>
      <c r="H19">
        <v>18</v>
      </c>
      <c r="I19" s="117">
        <v>102205119780521</v>
      </c>
    </row>
    <row r="20" spans="1:9" x14ac:dyDescent="0.25">
      <c r="A20" t="s">
        <v>19</v>
      </c>
      <c r="B20" t="s">
        <v>127</v>
      </c>
      <c r="C20" t="str">
        <v>SUSPENSA</v>
      </c>
      <c r="D20" s="117">
        <v>131905052962183</v>
      </c>
      <c r="E20" t="str">
        <f t="shared" si="0"/>
        <v>('SUSPENSA', '131905052962183'),</v>
      </c>
      <c r="H20">
        <v>19</v>
      </c>
      <c r="I20" s="117">
        <v>102205119780440</v>
      </c>
    </row>
    <row r="21" spans="1:9" x14ac:dyDescent="0.25">
      <c r="A21" t="s">
        <v>19</v>
      </c>
      <c r="B21" t="s">
        <v>134</v>
      </c>
      <c r="C21" t="str">
        <v>PAGA</v>
      </c>
      <c r="D21" s="117">
        <v>131905052962345</v>
      </c>
      <c r="E21" t="str">
        <f t="shared" si="0"/>
        <v>('PAGA', '131905052962345'),</v>
      </c>
      <c r="H21">
        <v>20</v>
      </c>
      <c r="I21" s="117">
        <v>102205119780602</v>
      </c>
    </row>
    <row r="22" spans="1:9" x14ac:dyDescent="0.25">
      <c r="A22" t="s">
        <v>19</v>
      </c>
      <c r="B22" t="s">
        <v>139</v>
      </c>
      <c r="C22" t="str">
        <v>SUSPENSA</v>
      </c>
      <c r="D22" s="117">
        <v>132105211325412</v>
      </c>
      <c r="E22" t="str">
        <f t="shared" si="0"/>
        <v>('SUSPENSA', '132105211325412'),</v>
      </c>
      <c r="H22">
        <v>21</v>
      </c>
      <c r="I22" s="117">
        <v>102205119780793</v>
      </c>
    </row>
    <row r="23" spans="1:9" x14ac:dyDescent="0.25">
      <c r="A23" t="s">
        <v>19</v>
      </c>
      <c r="B23" t="s">
        <v>144</v>
      </c>
      <c r="C23" t="str">
        <v>SUSPENSA</v>
      </c>
      <c r="D23" s="117">
        <v>72405055138258</v>
      </c>
      <c r="E23" t="str">
        <f t="shared" si="0"/>
        <v>('SUSPENSA', '072405055138258'),</v>
      </c>
      <c r="H23">
        <v>22</v>
      </c>
      <c r="I23" s="117">
        <v>102205119780874</v>
      </c>
    </row>
    <row r="24" spans="1:9" x14ac:dyDescent="0.25">
      <c r="A24" t="s">
        <v>19</v>
      </c>
      <c r="B24" t="s">
        <v>149</v>
      </c>
      <c r="C24" t="str">
        <v>SUSPENSA</v>
      </c>
      <c r="D24" s="117">
        <v>102205119780521</v>
      </c>
      <c r="E24" t="str">
        <f t="shared" si="0"/>
        <v>('SUSPENSA', '102205119780521'),</v>
      </c>
      <c r="H24">
        <v>23</v>
      </c>
      <c r="I24" s="117">
        <v>132105237986793</v>
      </c>
    </row>
    <row r="25" spans="1:9" x14ac:dyDescent="0.25">
      <c r="A25" t="s">
        <v>19</v>
      </c>
      <c r="B25" t="s">
        <v>154</v>
      </c>
      <c r="C25" t="str">
        <v>SUSPENSA</v>
      </c>
      <c r="D25" s="117">
        <v>102205119780440</v>
      </c>
      <c r="E25" t="str">
        <f t="shared" si="0"/>
        <v>('SUSPENSA', '102205119780440'),</v>
      </c>
      <c r="H25">
        <v>24</v>
      </c>
      <c r="I25" s="117">
        <v>72205154324450</v>
      </c>
    </row>
    <row r="26" spans="1:9" x14ac:dyDescent="0.25">
      <c r="A26" t="s">
        <v>19</v>
      </c>
      <c r="B26" t="s">
        <v>158</v>
      </c>
      <c r="C26" t="str">
        <v>SUSPENSA</v>
      </c>
      <c r="D26" s="117">
        <v>102205119780602</v>
      </c>
      <c r="E26" t="str">
        <f t="shared" si="0"/>
        <v>('SUSPENSA', '102205119780602'),</v>
      </c>
      <c r="H26">
        <v>25</v>
      </c>
      <c r="I26" s="117">
        <v>72205188517243</v>
      </c>
    </row>
    <row r="27" spans="1:9" x14ac:dyDescent="0.25">
      <c r="A27" t="s">
        <v>19</v>
      </c>
      <c r="B27" t="s">
        <v>162</v>
      </c>
      <c r="C27" t="str">
        <v>SUSPENSA</v>
      </c>
      <c r="D27" s="117">
        <v>102205119780793</v>
      </c>
      <c r="E27" t="str">
        <f t="shared" si="0"/>
        <v>('SUSPENSA', '102205119780793'),</v>
      </c>
      <c r="H27">
        <v>26</v>
      </c>
      <c r="I27" s="117">
        <v>132305195841804</v>
      </c>
    </row>
    <row r="28" spans="1:9" x14ac:dyDescent="0.25">
      <c r="A28" t="s">
        <v>166</v>
      </c>
      <c r="B28" t="s">
        <v>167</v>
      </c>
      <c r="C28">
        <v>0</v>
      </c>
      <c r="D28" s="117">
        <v>0</v>
      </c>
      <c r="E28" t="str">
        <f t="shared" si="0"/>
        <v/>
      </c>
      <c r="H28">
        <v>27</v>
      </c>
      <c r="I28" s="117">
        <v>152405318106469</v>
      </c>
    </row>
    <row r="29" spans="1:9" x14ac:dyDescent="0.25">
      <c r="A29" t="s">
        <v>19</v>
      </c>
      <c r="B29" t="s">
        <v>170</v>
      </c>
      <c r="C29">
        <v>0</v>
      </c>
      <c r="D29" s="117">
        <v>0</v>
      </c>
      <c r="E29" t="str">
        <f t="shared" si="0"/>
        <v/>
      </c>
      <c r="H29">
        <v>28</v>
      </c>
      <c r="I29" s="117">
        <v>132305267830013</v>
      </c>
    </row>
    <row r="30" spans="1:9" x14ac:dyDescent="0.25">
      <c r="A30" t="s">
        <v>19</v>
      </c>
      <c r="B30" t="s">
        <v>177</v>
      </c>
      <c r="C30">
        <v>0</v>
      </c>
      <c r="D30" s="117">
        <v>0</v>
      </c>
      <c r="E30" t="str">
        <f t="shared" si="0"/>
        <v/>
      </c>
      <c r="H30">
        <v>29</v>
      </c>
      <c r="I30" s="117">
        <v>152105242416074</v>
      </c>
    </row>
    <row r="31" spans="1:9" x14ac:dyDescent="0.25">
      <c r="A31" t="s">
        <v>183</v>
      </c>
      <c r="B31" t="s">
        <v>184</v>
      </c>
      <c r="C31">
        <v>0</v>
      </c>
      <c r="D31" s="117">
        <v>0</v>
      </c>
      <c r="E31" t="str">
        <f t="shared" si="0"/>
        <v/>
      </c>
      <c r="H31">
        <v>30</v>
      </c>
      <c r="I31" s="117">
        <v>151805001998909</v>
      </c>
    </row>
    <row r="32" spans="1:9" x14ac:dyDescent="0.25">
      <c r="A32" t="s">
        <v>19</v>
      </c>
      <c r="B32" t="s">
        <v>189</v>
      </c>
      <c r="C32">
        <v>0</v>
      </c>
      <c r="D32" s="117">
        <v>0</v>
      </c>
      <c r="E32" t="str">
        <f t="shared" si="0"/>
        <v/>
      </c>
      <c r="H32">
        <v>31</v>
      </c>
      <c r="I32" s="117">
        <v>132405221117348</v>
      </c>
    </row>
    <row r="33" spans="1:9" x14ac:dyDescent="0.25">
      <c r="A33" t="s">
        <v>19</v>
      </c>
      <c r="B33" t="s">
        <v>194</v>
      </c>
      <c r="C33" t="str">
        <v>SUSPENSA</v>
      </c>
      <c r="D33" s="117">
        <v>102205119780874</v>
      </c>
      <c r="E33" t="str">
        <f t="shared" si="0"/>
        <v>('SUSPENSA', '102205119780874'),</v>
      </c>
      <c r="H33">
        <v>32</v>
      </c>
      <c r="I33" s="117">
        <v>152205303647231</v>
      </c>
    </row>
    <row r="34" spans="1:9" x14ac:dyDescent="0.25">
      <c r="A34" t="s">
        <v>19</v>
      </c>
      <c r="B34" t="s">
        <v>198</v>
      </c>
      <c r="C34" t="str">
        <v>SUSPENSA</v>
      </c>
      <c r="D34" s="117">
        <v>132105237986793</v>
      </c>
      <c r="E34" t="str">
        <f t="shared" si="0"/>
        <v>('SUSPENSA', '132105237986793'),</v>
      </c>
      <c r="H34">
        <v>33</v>
      </c>
      <c r="I34" s="117">
        <v>152205303646693</v>
      </c>
    </row>
    <row r="35" spans="1:9" x14ac:dyDescent="0.25">
      <c r="A35" t="s">
        <v>19</v>
      </c>
      <c r="B35" t="s">
        <v>202</v>
      </c>
      <c r="C35">
        <v>0</v>
      </c>
      <c r="D35" s="117">
        <v>0</v>
      </c>
      <c r="E35" t="str">
        <f t="shared" si="0"/>
        <v/>
      </c>
      <c r="H35">
        <v>34</v>
      </c>
      <c r="I35" s="117">
        <v>151905198851634</v>
      </c>
    </row>
    <row r="36" spans="1:9" x14ac:dyDescent="0.25">
      <c r="A36" t="s">
        <v>19</v>
      </c>
      <c r="B36" t="s">
        <v>207</v>
      </c>
      <c r="C36" t="str">
        <v>SUSPENSA</v>
      </c>
      <c r="D36" s="117">
        <v>72205154324450</v>
      </c>
      <c r="E36" t="str">
        <f t="shared" si="0"/>
        <v>('SUSPENSA', '072205154324450'),</v>
      </c>
      <c r="H36">
        <v>35</v>
      </c>
      <c r="I36" s="117">
        <v>152305262872308</v>
      </c>
    </row>
    <row r="37" spans="1:9" x14ac:dyDescent="0.25">
      <c r="A37" t="s">
        <v>19</v>
      </c>
      <c r="B37" t="s">
        <v>210</v>
      </c>
      <c r="C37" t="str">
        <v>SUSPENSA</v>
      </c>
      <c r="D37" s="117">
        <v>72205188517243</v>
      </c>
      <c r="E37" t="str">
        <f t="shared" si="0"/>
        <v>('SUSPENSA', '072205188517243'),</v>
      </c>
      <c r="H37">
        <v>36</v>
      </c>
      <c r="I37" s="117">
        <v>152305251570810</v>
      </c>
    </row>
    <row r="38" spans="1:9" x14ac:dyDescent="0.25">
      <c r="A38" t="s">
        <v>45</v>
      </c>
      <c r="B38" t="s">
        <v>214</v>
      </c>
      <c r="C38">
        <v>0</v>
      </c>
      <c r="D38" s="117">
        <v>0</v>
      </c>
      <c r="E38" t="str">
        <f t="shared" si="0"/>
        <v/>
      </c>
      <c r="H38">
        <v>37</v>
      </c>
      <c r="I38" s="117">
        <v>152405220231060</v>
      </c>
    </row>
    <row r="39" spans="1:9" x14ac:dyDescent="0.25">
      <c r="A39" t="s">
        <v>220</v>
      </c>
      <c r="B39" t="s">
        <v>221</v>
      </c>
      <c r="C39" t="str">
        <v>SUSPENSA</v>
      </c>
      <c r="D39" s="117">
        <v>132305195841804</v>
      </c>
      <c r="E39" t="str">
        <f t="shared" si="0"/>
        <v>('SUSPENSA', '132305195841804'),</v>
      </c>
    </row>
    <row r="40" spans="1:9" x14ac:dyDescent="0.25">
      <c r="A40" t="s">
        <v>227</v>
      </c>
      <c r="B40" t="s">
        <v>228</v>
      </c>
      <c r="C40">
        <v>0</v>
      </c>
      <c r="D40" s="117">
        <v>0</v>
      </c>
      <c r="E40" t="str">
        <f t="shared" si="0"/>
        <v/>
      </c>
    </row>
    <row r="41" spans="1:9" x14ac:dyDescent="0.25">
      <c r="A41" t="s">
        <v>183</v>
      </c>
      <c r="B41" t="s">
        <v>233</v>
      </c>
      <c r="C41" t="str">
        <v>SUSPENSA</v>
      </c>
      <c r="D41" s="117">
        <v>152405318106469</v>
      </c>
      <c r="E41" t="str">
        <f t="shared" si="0"/>
        <v>('SUSPENSA', '152405318106469'),</v>
      </c>
    </row>
    <row r="42" spans="1:9" x14ac:dyDescent="0.25">
      <c r="A42" t="s">
        <v>239</v>
      </c>
      <c r="B42" t="s">
        <v>240</v>
      </c>
      <c r="C42">
        <v>0</v>
      </c>
      <c r="D42" s="117">
        <v>0</v>
      </c>
      <c r="E42" t="str">
        <f t="shared" si="0"/>
        <v/>
      </c>
    </row>
    <row r="43" spans="1:9" x14ac:dyDescent="0.25">
      <c r="A43" t="s">
        <v>220</v>
      </c>
      <c r="B43" t="s">
        <v>244</v>
      </c>
      <c r="C43" t="str">
        <v>SUSPENSA</v>
      </c>
      <c r="D43" s="117">
        <v>132305267830013</v>
      </c>
      <c r="E43" t="str">
        <f t="shared" si="0"/>
        <v>('SUSPENSA', '132305267830013'),</v>
      </c>
    </row>
    <row r="44" spans="1:9" x14ac:dyDescent="0.25">
      <c r="A44" t="s">
        <v>67</v>
      </c>
      <c r="B44" t="s">
        <v>247</v>
      </c>
      <c r="C44" t="str">
        <v>SUSPENSA</v>
      </c>
      <c r="D44" s="117">
        <v>152105242416074</v>
      </c>
      <c r="E44" t="str">
        <f t="shared" si="0"/>
        <v>('SUSPENSA', '152105242416074'),</v>
      </c>
    </row>
    <row r="45" spans="1:9" x14ac:dyDescent="0.25">
      <c r="A45" t="s">
        <v>67</v>
      </c>
      <c r="B45" t="s">
        <v>251</v>
      </c>
      <c r="C45" t="str">
        <v>SUSPENSA</v>
      </c>
      <c r="D45" s="117">
        <v>151805001998909</v>
      </c>
      <c r="E45" t="str">
        <f t="shared" si="0"/>
        <v>('SUSPENSA', '151805001998909'),</v>
      </c>
    </row>
    <row r="46" spans="1:9" x14ac:dyDescent="0.25">
      <c r="A46" t="s">
        <v>220</v>
      </c>
      <c r="B46" t="s">
        <v>256</v>
      </c>
      <c r="C46" t="str">
        <v>SUSPENSA</v>
      </c>
      <c r="D46" s="117">
        <v>132405221117348</v>
      </c>
      <c r="E46" t="str">
        <f t="shared" si="0"/>
        <v>('SUSPENSA', '132405221117348'),</v>
      </c>
    </row>
    <row r="47" spans="1:9" x14ac:dyDescent="0.25">
      <c r="A47" t="s">
        <v>261</v>
      </c>
      <c r="B47" t="s">
        <v>262</v>
      </c>
      <c r="C47">
        <v>0</v>
      </c>
      <c r="D47" s="117">
        <v>0</v>
      </c>
      <c r="E47" t="str">
        <f t="shared" si="0"/>
        <v/>
      </c>
    </row>
    <row r="48" spans="1:9" x14ac:dyDescent="0.25">
      <c r="A48" t="s">
        <v>67</v>
      </c>
      <c r="B48" t="s">
        <v>268</v>
      </c>
      <c r="C48" t="str">
        <v>SUSPENSA</v>
      </c>
      <c r="D48" s="117">
        <v>152205303647231</v>
      </c>
      <c r="E48" t="str">
        <f t="shared" si="0"/>
        <v>('SUSPENSA', '152205303647231'),</v>
      </c>
    </row>
    <row r="49" spans="1:5" x14ac:dyDescent="0.25">
      <c r="A49" t="s">
        <v>67</v>
      </c>
      <c r="B49" t="s">
        <v>272</v>
      </c>
      <c r="C49" t="str">
        <v>SUSPENSA</v>
      </c>
      <c r="D49" s="117">
        <v>152205303646693</v>
      </c>
      <c r="E49" t="str">
        <f t="shared" si="0"/>
        <v>('SUSPENSA', '152205303646693'),</v>
      </c>
    </row>
    <row r="50" spans="1:5" x14ac:dyDescent="0.25">
      <c r="A50" t="s">
        <v>67</v>
      </c>
      <c r="B50" t="s">
        <v>276</v>
      </c>
      <c r="C50">
        <v>0</v>
      </c>
      <c r="D50" s="117">
        <v>0</v>
      </c>
      <c r="E50" t="str">
        <f t="shared" si="0"/>
        <v/>
      </c>
    </row>
    <row r="51" spans="1:5" x14ac:dyDescent="0.25">
      <c r="A51" t="s">
        <v>67</v>
      </c>
      <c r="B51" t="s">
        <v>283</v>
      </c>
      <c r="C51">
        <v>0</v>
      </c>
      <c r="D51" s="117">
        <v>0</v>
      </c>
      <c r="E51" t="str">
        <f t="shared" si="0"/>
        <v/>
      </c>
    </row>
    <row r="52" spans="1:5" x14ac:dyDescent="0.25">
      <c r="A52" t="s">
        <v>67</v>
      </c>
      <c r="B52" t="s">
        <v>289</v>
      </c>
      <c r="C52" t="str">
        <v>PAGA</v>
      </c>
      <c r="D52" s="117">
        <v>151905198851634</v>
      </c>
      <c r="E52" t="str">
        <f t="shared" si="0"/>
        <v>('PAGA', '151905198851634'),</v>
      </c>
    </row>
    <row r="53" spans="1:5" x14ac:dyDescent="0.25">
      <c r="A53" t="s">
        <v>67</v>
      </c>
      <c r="B53" t="s">
        <v>294</v>
      </c>
      <c r="C53" t="str">
        <v>SUSPENSA</v>
      </c>
      <c r="D53" s="117">
        <v>152305262872308</v>
      </c>
      <c r="E53" t="str">
        <f t="shared" si="0"/>
        <v>('SUSPENSA', '152305262872308'),</v>
      </c>
    </row>
    <row r="54" spans="1:5" x14ac:dyDescent="0.25">
      <c r="A54" t="s">
        <v>67</v>
      </c>
      <c r="B54" t="s">
        <v>298</v>
      </c>
      <c r="C54" t="str">
        <v>SUSPENSA</v>
      </c>
      <c r="D54" s="117">
        <v>152305251570810</v>
      </c>
      <c r="E54" t="str">
        <f t="shared" si="0"/>
        <v>('SUSPENSA', '152305251570810'),</v>
      </c>
    </row>
    <row r="55" spans="1:5" x14ac:dyDescent="0.25">
      <c r="A55" t="s">
        <v>67</v>
      </c>
      <c r="B55" t="s">
        <v>301</v>
      </c>
      <c r="C55" t="str">
        <v>SUSPENSA</v>
      </c>
      <c r="D55" s="117">
        <v>152405220231060</v>
      </c>
      <c r="E55" t="str">
        <f t="shared" si="0"/>
        <v>('SUSPENSA', '152405220231060'),</v>
      </c>
    </row>
  </sheetData>
  <autoFilter ref="C1:E55" xr:uid="{3AE96E92-D89F-4191-91A0-C7CC06F621CE}"/>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F6A3-57E4-41AB-954E-93994D33A640}">
  <sheetPr>
    <tabColor theme="4"/>
  </sheetPr>
  <dimension ref="A1:O55"/>
  <sheetViews>
    <sheetView topLeftCell="G1" workbookViewId="0">
      <selection activeCell="L2" sqref="L2"/>
    </sheetView>
  </sheetViews>
  <sheetFormatPr defaultRowHeight="15" x14ac:dyDescent="0.25"/>
  <cols>
    <col min="1" max="1" width="16.85546875" bestFit="1" customWidth="1"/>
    <col min="2" max="2" width="14.5703125" bestFit="1" customWidth="1"/>
    <col min="3" max="3" width="56.5703125" bestFit="1" customWidth="1"/>
    <col min="4" max="4" width="13.28515625" bestFit="1" customWidth="1"/>
    <col min="5" max="5" width="33.5703125" customWidth="1"/>
    <col min="6" max="6" width="14.42578125" bestFit="1" customWidth="1"/>
    <col min="7" max="7" width="11.140625" bestFit="1" customWidth="1"/>
    <col min="12" max="12" width="66.5703125" bestFit="1" customWidth="1"/>
    <col min="14" max="14" width="53.42578125" bestFit="1" customWidth="1"/>
  </cols>
  <sheetData>
    <row r="1" spans="1:15" x14ac:dyDescent="0.25">
      <c r="D1" t="s">
        <v>304</v>
      </c>
      <c r="E1" t="s">
        <v>305</v>
      </c>
      <c r="F1" t="s">
        <v>306</v>
      </c>
      <c r="G1" t="s">
        <v>307</v>
      </c>
    </row>
    <row r="2" spans="1:15" x14ac:dyDescent="0.25">
      <c r="A2" t="str" cm="1">
        <f t="array" ref="A2:A55">_xlfn._xlws.SORT(Main!B3:B56)</f>
        <v>BOWLINE</v>
      </c>
      <c r="B2" t="str" cm="1">
        <f t="array" ref="B2">TRIM(_xlfn.TEXTSPLIT(IF(A2=A1,"",_xlfn.TEXTJOIN(", ",TRUE,_xlfn.XLOOKUP(A2&amp;" - "&amp;_xlfn.SEQUENCE(30),Main!$A$3:$A$56,Main!$D$3:$D$56,""))),,","))</f>
        <v>I-24/0782-BWL</v>
      </c>
      <c r="C2" t="str" cm="1">
        <f t="array" ref="C2:C55">_xlfn.XLOOKUP(B2:B55,Main!D3:D56,Main!O3:O56)</f>
        <v>EADI LACHMANN - SÃO BERNARDO/SP</v>
      </c>
      <c r="D2" s="114" t="s">
        <v>331</v>
      </c>
      <c r="E2" t="s">
        <v>332</v>
      </c>
      <c r="F2">
        <v>8943209</v>
      </c>
      <c r="G2" t="s">
        <v>309</v>
      </c>
      <c r="J2">
        <v>18</v>
      </c>
      <c r="K2" cm="1">
        <f t="array" ref="K2:K20">_xlfn._xlws.SORT(_xlfn.UNIQUE(F2:F55))</f>
        <v>2931605</v>
      </c>
      <c r="L2" t="str" cm="1">
        <f t="array" ref="L2:L20">_xlfn.XLOOKUP(_xlfn.ANCHORARRAY(K2),F2:F55,G2:G55)</f>
        <v>INST.POR.FLUV.ALF-USO PRIVATIVO-CHIBATAO NAV. COM-MANAUS/AM</v>
      </c>
      <c r="M2" t="str" cm="1">
        <f t="array" ref="M2:M20">_xlfn.XLOOKUP(_xlfn.ANCHORARRAY(K2),F2:F55,D2:D55)</f>
        <v>0227600</v>
      </c>
      <c r="N2" t="str" cm="1">
        <f t="array" ref="N2:N20">_xlfn.XLOOKUP(_xlfn.ANCHORARRAY(M2),D2:D55,E2:E55)</f>
        <v>PORTO DE MANAUS</v>
      </c>
      <c r="O2" t="str">
        <f>"("&amp;K2&amp;", "&amp;"'"&amp;PROPER(L2)&amp;"', "&amp;"'"&amp;PROPER(N2)&amp;"', '"&amp;N2&amp;"', "&amp;M2&amp;"),"</f>
        <v>(2931605, 'Inst.Por.Fluv.Alf-Uso Privativo-Chibatao Nav. Com-Manaus/Am', 'Porto De Manaus', 'PORTO DE MANAUS', 0227600),</v>
      </c>
    </row>
    <row r="3" spans="1:15" x14ac:dyDescent="0.25">
      <c r="A3" t="str">
        <v>DTA ENGENHARIA</v>
      </c>
      <c r="B3" t="str" cm="1">
        <f t="array" ref="B3:B5">TRIM(_xlfn.TEXTSPLIT(IF(A3=A2,"",_xlfn.TEXTJOIN(", ",TRUE,_xlfn.XLOOKUP(A3&amp;" - "&amp;_xlfn.SEQUENCE(30),Main!$A$3:$A$56,Main!$D$3:$D$56,""))),,","))</f>
        <v>I-24/1100-DTE</v>
      </c>
      <c r="C3" t="str">
        <v>PATIO DO PORTO DO RJ</v>
      </c>
      <c r="D3" s="114" t="s">
        <v>313</v>
      </c>
      <c r="E3" t="s">
        <v>314</v>
      </c>
      <c r="F3">
        <v>7920001</v>
      </c>
      <c r="G3" t="s">
        <v>315</v>
      </c>
      <c r="J3">
        <v>1</v>
      </c>
      <c r="K3">
        <v>3911301</v>
      </c>
      <c r="L3" t="str">
        <v>PORTO DE FORTALEZA - CIA. DOCAS DO CEARA - PORTO MARIT. ALF.</v>
      </c>
      <c r="M3" t="str">
        <v>0317900</v>
      </c>
      <c r="N3" t="str">
        <v>ALF - FORTALEZA</v>
      </c>
      <c r="O3" t="str">
        <f t="shared" ref="O3:O20" si="0">"("&amp;K3&amp;", "&amp;"'"&amp;PROPER(L3)&amp;"', "&amp;"'"&amp;PROPER(N3)&amp;"', '"&amp;N3&amp;"', "&amp;M3&amp;"),"</f>
        <v>(3911301, 'Porto De Fortaleza - Cia. Docas Do Ceara - Porto Marit. Alf.', 'Alf - Fortaleza', 'ALF - FORTALEZA', 0317900),</v>
      </c>
    </row>
    <row r="4" spans="1:15" x14ac:dyDescent="0.25">
      <c r="A4" t="str">
        <v>DTA ENGENHARIA</v>
      </c>
      <c r="B4" t="str">
        <v>I-24/1261-DTE</v>
      </c>
      <c r="C4" t="str">
        <v>PORTO DE FORTALEZA - DOCAS DO CEARA</v>
      </c>
      <c r="D4" s="114" t="s">
        <v>310</v>
      </c>
      <c r="E4" t="s">
        <v>311</v>
      </c>
      <c r="F4">
        <v>3911301</v>
      </c>
      <c r="G4" t="s">
        <v>312</v>
      </c>
      <c r="J4">
        <v>2</v>
      </c>
      <c r="K4">
        <v>3931301</v>
      </c>
      <c r="L4" t="str">
        <v>AURORA TERMINAIS E SERVIÇOS LTDA.</v>
      </c>
      <c r="M4" t="str">
        <v>0317903</v>
      </c>
      <c r="N4" t="str">
        <v>IRF SÃO LUIS</v>
      </c>
      <c r="O4" t="str">
        <f t="shared" si="0"/>
        <v>(3931301, 'Aurora Terminais E Serviços Ltda.', 'Irf São Luis', 'IRF SÃO LUIS', 0317903),</v>
      </c>
    </row>
    <row r="5" spans="1:15" x14ac:dyDescent="0.25">
      <c r="A5" t="str">
        <v>DTA ENGENHARIA</v>
      </c>
      <c r="B5" t="str">
        <v>I-24/2191-DTE</v>
      </c>
      <c r="C5" t="str">
        <v>CHIBATAO - MANAUS/AM</v>
      </c>
      <c r="D5" s="114" t="s">
        <v>316</v>
      </c>
      <c r="E5" t="s">
        <v>317</v>
      </c>
      <c r="F5">
        <v>2931605</v>
      </c>
      <c r="G5" t="s">
        <v>318</v>
      </c>
      <c r="J5">
        <v>3</v>
      </c>
      <c r="K5">
        <v>4931304</v>
      </c>
      <c r="L5" t="str">
        <v>INST.PORT.USO PUBL.-SUATA SERV.LOG. LTDA.</v>
      </c>
      <c r="M5" t="str">
        <v>0417902</v>
      </c>
      <c r="N5" t="str">
        <v>IRF - PORTO DE SUAPE</v>
      </c>
      <c r="O5" t="str">
        <f t="shared" si="0"/>
        <v>(4931304, 'Inst.Port.Uso Publ.-Suata Serv.Log. Ltda.', 'Irf - Porto De Suape', 'IRF - PORTO DE SUAPE', 0417902),</v>
      </c>
    </row>
    <row r="6" spans="1:15" x14ac:dyDescent="0.25">
      <c r="A6" t="str">
        <v>KARINA</v>
      </c>
      <c r="B6" t="str" cm="1">
        <f t="array" ref="B6">TRIM(_xlfn.TEXTSPLIT(IF(A6=A5,"",_xlfn.TEXTJOIN(", ",TRUE,_xlfn.XLOOKUP(A6&amp;" - "&amp;_xlfn.SEQUENCE(30),Main!$A$3:$A$56,Main!$D$3:$D$56,""))),,","))</f>
        <v>E-24/0208-KRN</v>
      </c>
      <c r="C6" t="str">
        <v>AEROPORTO INTERNACIONAL DE SAO PAULO/GUARULHOS</v>
      </c>
      <c r="D6" s="114" t="s">
        <v>308</v>
      </c>
      <c r="E6" t="s">
        <v>338</v>
      </c>
      <c r="F6">
        <v>8911101</v>
      </c>
      <c r="G6" t="s">
        <v>339</v>
      </c>
      <c r="J6">
        <v>4</v>
      </c>
      <c r="K6">
        <v>4931305</v>
      </c>
      <c r="L6" t="str">
        <v>INST.PORT.USO PUBL.-ATLâNTICO TERMINAIS S. A.</v>
      </c>
      <c r="M6" t="str">
        <v>0417902</v>
      </c>
      <c r="N6" t="str">
        <v>IRF - PORTO DE SUAPE</v>
      </c>
      <c r="O6" t="str">
        <f t="shared" si="0"/>
        <v>(4931305, 'Inst.Port.Uso Publ.-Atlântico Terminais S. A.', 'Irf - Porto De Suape', 'IRF - PORTO DE SUAPE', 0417902),</v>
      </c>
    </row>
    <row r="7" spans="1:15" x14ac:dyDescent="0.25">
      <c r="A7" t="str">
        <v>MAMMOET</v>
      </c>
      <c r="B7" t="str" cm="1">
        <f t="array" ref="B7:B34">TRIM(_xlfn.TEXTSPLIT(IF(A7=A6,"",_xlfn.TEXTJOIN(", ",TRUE,_xlfn.XLOOKUP(A7&amp;" - "&amp;_xlfn.SEQUENCE(30),Main!$A$3:$A$56,Main!$D$3:$D$56,""))),,","))</f>
        <v>I-22/0968-MBG</v>
      </c>
      <c r="C7" t="str">
        <v>IRF - PORTO DE SUAPE</v>
      </c>
      <c r="D7" s="114" t="s">
        <v>319</v>
      </c>
      <c r="E7" t="s">
        <v>25</v>
      </c>
      <c r="F7">
        <v>4931305</v>
      </c>
      <c r="G7" t="s">
        <v>320</v>
      </c>
      <c r="J7">
        <v>5</v>
      </c>
      <c r="K7">
        <v>5921301</v>
      </c>
      <c r="L7" t="str">
        <v>PORTO DE SALVADOR - CODEBA - PORTO MARIT.ALF.-USO PúBLICO</v>
      </c>
      <c r="M7" t="str">
        <v>0517800</v>
      </c>
      <c r="N7" t="str">
        <v>ALF - SALVADOR</v>
      </c>
      <c r="O7" t="str">
        <f t="shared" si="0"/>
        <v>(5921301, 'Porto De Salvador - Codeba - Porto Marit.Alf.-Uso Público', 'Alf - Salvador', 'ALF - SALVADOR', 0517800),</v>
      </c>
    </row>
    <row r="8" spans="1:15" x14ac:dyDescent="0.25">
      <c r="A8" t="str">
        <v>MAMMOET</v>
      </c>
      <c r="B8" t="str">
        <v>I-24/0271-MBG</v>
      </c>
      <c r="C8" t="str">
        <v>INST.PORT.USO PUBL.-SUATA SERV.LOG. LTDA.</v>
      </c>
      <c r="D8" s="114" t="s">
        <v>319</v>
      </c>
      <c r="E8" t="s">
        <v>25</v>
      </c>
      <c r="F8">
        <v>4931304</v>
      </c>
      <c r="G8" t="s">
        <v>32</v>
      </c>
      <c r="J8">
        <v>6</v>
      </c>
      <c r="K8">
        <v>5921304</v>
      </c>
      <c r="L8" t="str">
        <v>INST.PORT.USO PúBLICO - INTERMARíTIMA TERMINAIS LTDA.</v>
      </c>
      <c r="M8" t="str">
        <v>0517800</v>
      </c>
      <c r="N8" t="str">
        <v>ALF - SALVADOR</v>
      </c>
      <c r="O8" t="str">
        <f t="shared" si="0"/>
        <v>(5921304, 'Inst.Port.Uso Público - Intermarítima Terminais Ltda.', 'Alf - Salvador', 'ALF - SALVADOR', 0517800),</v>
      </c>
    </row>
    <row r="9" spans="1:15" x14ac:dyDescent="0.25">
      <c r="A9" t="str">
        <v>MAMMOET</v>
      </c>
      <c r="B9" t="str">
        <v>I-22/1149-MBG</v>
      </c>
      <c r="C9" t="str">
        <v>IRF - PORTO DE SUAPE</v>
      </c>
      <c r="D9" s="114" t="s">
        <v>319</v>
      </c>
      <c r="E9" t="s">
        <v>25</v>
      </c>
      <c r="F9">
        <v>4931305</v>
      </c>
      <c r="G9" t="s">
        <v>320</v>
      </c>
      <c r="J9">
        <v>7</v>
      </c>
      <c r="K9">
        <v>7301402</v>
      </c>
      <c r="L9" t="str">
        <v>TMULT - PORTO DO AÇÚ OPERAÇÕES S.A.</v>
      </c>
      <c r="M9" t="str">
        <v>0710400</v>
      </c>
      <c r="N9" t="str">
        <v>CAMPOS DOS GOYTACAZES</v>
      </c>
      <c r="O9" t="str">
        <f t="shared" si="0"/>
        <v>(7301402, 'Tmult - Porto Do Açú Operações S.A.', 'Campos Dos Goytacazes', 'CAMPOS DOS GOYTACAZES', 0710400),</v>
      </c>
    </row>
    <row r="10" spans="1:15" x14ac:dyDescent="0.25">
      <c r="A10" t="str">
        <v>MAMMOET</v>
      </c>
      <c r="B10" t="str">
        <v>I-22/0680-MBG</v>
      </c>
      <c r="C10" t="str">
        <v>PORTO DE SALVADOR - CODEBA</v>
      </c>
      <c r="D10" s="114" t="s">
        <v>321</v>
      </c>
      <c r="E10" t="s">
        <v>322</v>
      </c>
      <c r="F10">
        <v>5921301</v>
      </c>
      <c r="G10" t="s">
        <v>323</v>
      </c>
      <c r="J10">
        <v>8</v>
      </c>
      <c r="K10">
        <v>7920001</v>
      </c>
      <c r="L10" t="str">
        <v>PÁTIO DO PORTO DO RIO DE JANEIRO</v>
      </c>
      <c r="M10" t="str">
        <v>0717600</v>
      </c>
      <c r="N10" t="str">
        <v>PORTO DO RIO DE JANEIRO</v>
      </c>
      <c r="O10" t="str">
        <f t="shared" si="0"/>
        <v>(7920001, 'Pátio Do Porto Do Rio De Janeiro', 'Porto Do Rio De Janeiro', 'PORTO DO RIO DE JANEIRO', 0717600),</v>
      </c>
    </row>
    <row r="11" spans="1:15" x14ac:dyDescent="0.25">
      <c r="A11" t="str">
        <v>MAMMOET</v>
      </c>
      <c r="B11" t="str">
        <v>I-21/0721-MBG</v>
      </c>
      <c r="C11" t="str">
        <v>SUATA SERV. LOG-SUAPE</v>
      </c>
      <c r="D11" s="114" t="s">
        <v>319</v>
      </c>
      <c r="E11" t="s">
        <v>25</v>
      </c>
      <c r="F11">
        <v>4931304</v>
      </c>
      <c r="G11" t="s">
        <v>32</v>
      </c>
      <c r="J11">
        <v>9</v>
      </c>
      <c r="K11">
        <v>7921302</v>
      </c>
      <c r="L11" t="str">
        <v>ICTSI RIO BRASIL TERMINAL 1 SA</v>
      </c>
      <c r="M11" t="str">
        <v>0717600</v>
      </c>
      <c r="N11" t="str">
        <v>PORTO DO RIO DE JANEIRO</v>
      </c>
      <c r="O11" t="str">
        <f t="shared" si="0"/>
        <v>(7921302, 'Ictsi Rio Brasil Terminal 1 Sa', 'Porto Do Rio De Janeiro', 'PORTO DO RIO DE JANEIRO', 0717600),</v>
      </c>
    </row>
    <row r="12" spans="1:15" x14ac:dyDescent="0.25">
      <c r="A12" t="str">
        <v>MAMMOET</v>
      </c>
      <c r="B12" t="str">
        <v>I-21/0343-MBG</v>
      </c>
      <c r="C12" t="str">
        <v>MULTIRIO-RJ</v>
      </c>
      <c r="D12" s="114" t="s">
        <v>313</v>
      </c>
      <c r="E12" t="s">
        <v>314</v>
      </c>
      <c r="F12">
        <v>7921303</v>
      </c>
      <c r="G12" t="s">
        <v>115</v>
      </c>
      <c r="J12">
        <v>10</v>
      </c>
      <c r="K12">
        <v>7921303</v>
      </c>
      <c r="L12" t="str">
        <v>INST.PORT.MAR.ALF.USO PUBL.CONS.MULT RIO-T.II-PORTO RJ</v>
      </c>
      <c r="M12" t="str">
        <v>0717600</v>
      </c>
      <c r="N12" t="str">
        <v>PORTO DO RIO DE JANEIRO</v>
      </c>
      <c r="O12" t="str">
        <f t="shared" si="0"/>
        <v>(7921303, 'Inst.Port.Mar.Alf.Uso Publ.Cons.Mult Rio-T.Ii-Porto Rj', 'Porto Do Rio De Janeiro', 'PORTO DO RIO DE JANEIRO', 0717600),</v>
      </c>
    </row>
    <row r="13" spans="1:15" x14ac:dyDescent="0.25">
      <c r="A13" t="str">
        <v>MAMMOET</v>
      </c>
      <c r="B13" t="str">
        <v>I-23/0175-MBG</v>
      </c>
      <c r="C13" t="str">
        <v>ICTSI RIO BRASIL TERMINAL 1 SA - RIO DE JANEIRO/RJ</v>
      </c>
      <c r="D13" s="114" t="s">
        <v>313</v>
      </c>
      <c r="E13" t="s">
        <v>314</v>
      </c>
      <c r="F13">
        <v>7921302</v>
      </c>
      <c r="G13" t="s">
        <v>324</v>
      </c>
      <c r="J13">
        <v>11</v>
      </c>
      <c r="K13">
        <v>8813201</v>
      </c>
      <c r="L13" t="str">
        <v>EADI - AURORA TERMINAIS E SERVIÇOS LTDA.-SOROCABA/SP</v>
      </c>
      <c r="M13" t="str">
        <v>0811000</v>
      </c>
      <c r="N13" t="str">
        <v>SOROCABA</v>
      </c>
      <c r="O13" t="str">
        <f t="shared" si="0"/>
        <v>(8813201, 'Eadi - Aurora Terminais E Serviços Ltda.-Sorocaba/Sp', 'Sorocaba', 'SOROCABA', 0811000),</v>
      </c>
    </row>
    <row r="14" spans="1:15" x14ac:dyDescent="0.25">
      <c r="A14" t="str">
        <v>MAMMOET</v>
      </c>
      <c r="B14" t="str">
        <v>I-23/0432-MBG</v>
      </c>
      <c r="C14" t="str">
        <v>ICTSI RIO BRASIL TERMINAL 1 SA - RIO DE JANEIRO/RJ</v>
      </c>
      <c r="D14" s="114" t="s">
        <v>313</v>
      </c>
      <c r="E14" t="s">
        <v>314</v>
      </c>
      <c r="F14">
        <v>7921302</v>
      </c>
      <c r="G14" t="s">
        <v>324</v>
      </c>
      <c r="J14">
        <v>12</v>
      </c>
      <c r="K14">
        <v>8911101</v>
      </c>
      <c r="L14" t="str">
        <v>CONCESSIONÁRIA DO AEROPORTO INTERNACIONAL DE GUARULHOS S/A</v>
      </c>
      <c r="M14" t="str">
        <v>0817600</v>
      </c>
      <c r="N14" t="str">
        <v>AEROPORTO INTERNACIONAL DE SÃO PAULO/GUARULHOS</v>
      </c>
      <c r="O14" t="str">
        <f t="shared" si="0"/>
        <v>(8911101, 'Concessionária Do Aeroporto Internacional De Guarulhos S/A', 'Aeroporto Internacional De São Paulo/Guarulhos', 'AEROPORTO INTERNACIONAL DE SÃO PAULO/GUARULHOS', 0817600),</v>
      </c>
    </row>
    <row r="15" spans="1:15" x14ac:dyDescent="0.25">
      <c r="A15" t="str">
        <v>MAMMOET</v>
      </c>
      <c r="B15" t="str">
        <v>I-22/1173-MBG</v>
      </c>
      <c r="C15" t="str">
        <v>TCP - TERMINAL DE CONTEINERES DE PARANAGUA S/A</v>
      </c>
      <c r="D15" s="114" t="s">
        <v>325</v>
      </c>
      <c r="E15" t="s">
        <v>326</v>
      </c>
      <c r="F15">
        <v>9801303</v>
      </c>
      <c r="G15" t="s">
        <v>109</v>
      </c>
      <c r="J15">
        <v>13</v>
      </c>
      <c r="K15">
        <v>8931359</v>
      </c>
      <c r="L15" t="str">
        <v>BRASIL TERMINAL PORTUÁRIO S/A</v>
      </c>
      <c r="M15" t="str">
        <v>0817800</v>
      </c>
      <c r="N15" t="str">
        <v>PORTO DE SANTOS</v>
      </c>
      <c r="O15" t="str">
        <f t="shared" si="0"/>
        <v>(8931359, 'Brasil Terminal Portuário S/A', 'Porto De Santos', 'PORTO DE SANTOS', 0817800),</v>
      </c>
    </row>
    <row r="16" spans="1:15" x14ac:dyDescent="0.25">
      <c r="A16" t="str">
        <v>MAMMOET</v>
      </c>
      <c r="B16" t="str">
        <v>I-22/1955-MBG</v>
      </c>
      <c r="C16" t="str">
        <v>INST.PORT.MAR.ALF.USO PUBL.CONS.MULT RIO-T.II-PORTO RJ</v>
      </c>
      <c r="D16" s="114" t="s">
        <v>313</v>
      </c>
      <c r="E16" t="s">
        <v>314</v>
      </c>
      <c r="F16">
        <v>7921303</v>
      </c>
      <c r="G16" t="s">
        <v>115</v>
      </c>
      <c r="J16">
        <v>14</v>
      </c>
      <c r="K16">
        <v>8943204</v>
      </c>
      <c r="L16" t="str">
        <v>EADI-EMBRAGEM-AV.MACKENZIE,137,JAGUARE-SÃO PAULO/SP</v>
      </c>
      <c r="M16" t="str">
        <v>0817900</v>
      </c>
      <c r="N16" t="str">
        <v>SÃO PAULO</v>
      </c>
      <c r="O16" t="str">
        <f t="shared" si="0"/>
        <v>(8943204, 'Eadi-Embragem-Av.Mackenzie,137,Jaguare-São Paulo/Sp', 'São Paulo', 'SÃO PAULO', 0817900),</v>
      </c>
    </row>
    <row r="17" spans="1:15" x14ac:dyDescent="0.25">
      <c r="A17" t="str">
        <v>MAMMOET</v>
      </c>
      <c r="B17" t="str">
        <v>I-21/1420-MBG</v>
      </c>
      <c r="C17" t="str">
        <v>MULTIRIO-RJ</v>
      </c>
      <c r="D17" s="114" t="s">
        <v>313</v>
      </c>
      <c r="E17" t="s">
        <v>314</v>
      </c>
      <c r="F17">
        <v>7921303</v>
      </c>
      <c r="G17" t="s">
        <v>115</v>
      </c>
      <c r="J17">
        <v>15</v>
      </c>
      <c r="K17">
        <v>8943208</v>
      </c>
      <c r="L17" t="str">
        <v>EADI SANTO ANDRE TERMINAL DE CARGAS LTDA.</v>
      </c>
      <c r="M17" t="str">
        <v>0815500</v>
      </c>
      <c r="N17" t="str">
        <v>SÃO PAULO</v>
      </c>
      <c r="O17" t="str">
        <f t="shared" si="0"/>
        <v>(8943208, 'Eadi Santo Andre Terminal De Cargas Ltda.', 'São Paulo', 'SÃO PAULO', 0815500),</v>
      </c>
    </row>
    <row r="18" spans="1:15" x14ac:dyDescent="0.25">
      <c r="A18" t="str">
        <v>MAMMOET</v>
      </c>
      <c r="B18" t="str">
        <v>I-17/2116-MBG</v>
      </c>
      <c r="C18" t="str">
        <v>ALFÂNDEGA DO PORTO DO RIO DE JANEIRO</v>
      </c>
      <c r="D18" s="114" t="s">
        <v>313</v>
      </c>
      <c r="E18" t="s">
        <v>314</v>
      </c>
      <c r="F18">
        <v>7921303</v>
      </c>
      <c r="G18" t="s">
        <v>115</v>
      </c>
      <c r="J18">
        <v>19</v>
      </c>
      <c r="K18">
        <v>8943209</v>
      </c>
      <c r="L18" t="str">
        <v>EADI-LACHMANN TERMINAIS LTDA.-SAO BERNARDO DO CAMPO/SP</v>
      </c>
      <c r="M18" t="str">
        <v>0817900</v>
      </c>
      <c r="N18" t="str">
        <v>SÃO PAULO</v>
      </c>
      <c r="O18" t="str">
        <f t="shared" si="0"/>
        <v>(8943209, 'Eadi-Lachmann Terminais Ltda.-Sao Bernardo Do Campo/Sp', 'São Paulo', 'SÃO PAULO', 0817900),</v>
      </c>
    </row>
    <row r="19" spans="1:15" x14ac:dyDescent="0.25">
      <c r="A19" t="str">
        <v>MAMMOET</v>
      </c>
      <c r="B19" t="str">
        <v>I-19/0083-MBG</v>
      </c>
      <c r="C19" t="str">
        <v>CAMPOS DOS GOITACAZES</v>
      </c>
      <c r="D19" s="114" t="s">
        <v>327</v>
      </c>
      <c r="E19" t="s">
        <v>328</v>
      </c>
      <c r="F19">
        <v>7301402</v>
      </c>
      <c r="G19" t="s">
        <v>329</v>
      </c>
      <c r="J19">
        <v>16</v>
      </c>
      <c r="K19">
        <v>8943213</v>
      </c>
      <c r="L19" t="str">
        <v>AURORA TERMINAIS E SERVIÇOS LTDA.</v>
      </c>
      <c r="M19" t="str">
        <v>0817900</v>
      </c>
      <c r="N19" t="str">
        <v>SÃO PAULO</v>
      </c>
      <c r="O19" t="str">
        <f t="shared" si="0"/>
        <v>(8943213, 'Aurora Terminais E Serviços Ltda.', 'São Paulo', 'SÃO PAULO', 0817900),</v>
      </c>
    </row>
    <row r="20" spans="1:15" x14ac:dyDescent="0.25">
      <c r="A20" t="str">
        <v>MAMMOET</v>
      </c>
      <c r="B20" t="str">
        <v>I-19/0142-MBG</v>
      </c>
      <c r="C20" t="str">
        <v>CAMPOS DOS GOITACAZES</v>
      </c>
      <c r="D20" s="114" t="s">
        <v>327</v>
      </c>
      <c r="E20" t="s">
        <v>328</v>
      </c>
      <c r="F20">
        <v>7301402</v>
      </c>
      <c r="G20" t="s">
        <v>329</v>
      </c>
      <c r="J20">
        <v>17</v>
      </c>
      <c r="K20">
        <v>9801303</v>
      </c>
      <c r="L20" t="str">
        <v>TCP - TERMINAL DE CONTEINERES DE PARANAGUA S/A</v>
      </c>
      <c r="M20" t="str">
        <v>0917800</v>
      </c>
      <c r="N20" t="str">
        <v>PORTO DE PARANAGUA</v>
      </c>
      <c r="O20" t="str">
        <f t="shared" si="0"/>
        <v>(9801303, 'Tcp - Terminal De Conteineres De Paranagua S/A', 'Porto De Paranagua', 'PORTO DE PARANAGUA', 0917800),</v>
      </c>
    </row>
    <row r="21" spans="1:15" x14ac:dyDescent="0.25">
      <c r="A21" t="str">
        <v>MAMMOET</v>
      </c>
      <c r="B21" t="str">
        <v>I-21/1419-MBG</v>
      </c>
      <c r="C21" t="str">
        <v>MULTIRIO-RJ</v>
      </c>
      <c r="D21" s="114" t="s">
        <v>313</v>
      </c>
      <c r="E21" t="s">
        <v>314</v>
      </c>
      <c r="F21">
        <v>7921303</v>
      </c>
      <c r="G21" t="s">
        <v>115</v>
      </c>
    </row>
    <row r="22" spans="1:15" x14ac:dyDescent="0.25">
      <c r="A22" t="str">
        <v>MAMMOET</v>
      </c>
      <c r="B22" t="str">
        <v>I-24/0252-MBG</v>
      </c>
      <c r="C22" t="str">
        <v>SUATA SERV. LOG-SUAPE</v>
      </c>
      <c r="D22" s="114" t="s">
        <v>319</v>
      </c>
      <c r="E22" t="s">
        <v>25</v>
      </c>
      <c r="F22">
        <v>4931304</v>
      </c>
      <c r="G22" t="s">
        <v>32</v>
      </c>
    </row>
    <row r="23" spans="1:15" x14ac:dyDescent="0.25">
      <c r="A23" t="str">
        <v>MAMMOET</v>
      </c>
      <c r="B23" t="str">
        <v>I-22/0623-MBG</v>
      </c>
      <c r="C23" t="str">
        <v xml:space="preserve">PORTO DE SALVADOR - INTERMARITIMA TERMINAIS LTDA. </v>
      </c>
      <c r="D23" s="114" t="s">
        <v>321</v>
      </c>
      <c r="E23" t="s">
        <v>322</v>
      </c>
      <c r="F23">
        <v>5921304</v>
      </c>
      <c r="G23" t="s">
        <v>330</v>
      </c>
    </row>
    <row r="24" spans="1:15" x14ac:dyDescent="0.25">
      <c r="A24" t="str">
        <v>MAMMOET</v>
      </c>
      <c r="B24" t="str">
        <v>I-22/0631-MBG</v>
      </c>
      <c r="C24" t="str">
        <v xml:space="preserve">PORTO DE SALVADOR - INTERMARITIMA TERMINAIS LTDA. </v>
      </c>
      <c r="D24" s="114" t="s">
        <v>321</v>
      </c>
      <c r="E24" t="s">
        <v>322</v>
      </c>
      <c r="F24">
        <v>5921304</v>
      </c>
      <c r="G24" t="s">
        <v>330</v>
      </c>
    </row>
    <row r="25" spans="1:15" x14ac:dyDescent="0.25">
      <c r="A25" t="str">
        <v>MAMMOET</v>
      </c>
      <c r="B25" t="str">
        <v>I-22/0621-MBG</v>
      </c>
      <c r="C25" t="str">
        <v xml:space="preserve">PORTO DE SALVADOR - INTERMARITIMA TERMINAIS LTDA. </v>
      </c>
      <c r="D25" s="114" t="s">
        <v>321</v>
      </c>
      <c r="E25" t="s">
        <v>322</v>
      </c>
      <c r="F25">
        <v>5921304</v>
      </c>
      <c r="G25" t="s">
        <v>330</v>
      </c>
    </row>
    <row r="26" spans="1:15" x14ac:dyDescent="0.25">
      <c r="A26" t="str">
        <v>MAMMOET</v>
      </c>
      <c r="B26" t="str">
        <v>I-22/0630-MBG</v>
      </c>
      <c r="C26" t="str">
        <v xml:space="preserve">PORTO DE SALVADOR - INTERMARITIMA TERMINAIS LTDA. </v>
      </c>
      <c r="D26" s="114" t="s">
        <v>321</v>
      </c>
      <c r="E26" t="s">
        <v>322</v>
      </c>
      <c r="F26">
        <v>5921304</v>
      </c>
      <c r="G26" t="s">
        <v>330</v>
      </c>
    </row>
    <row r="27" spans="1:15" x14ac:dyDescent="0.25">
      <c r="A27" t="str">
        <v>MAMMOET</v>
      </c>
      <c r="B27" t="str">
        <v>I-21/0242-MBG</v>
      </c>
      <c r="C27" t="str">
        <v>EADI EMBRAGEM-SP</v>
      </c>
      <c r="D27" s="114" t="s">
        <v>331</v>
      </c>
      <c r="E27" t="s">
        <v>332</v>
      </c>
      <c r="F27">
        <v>8943204</v>
      </c>
      <c r="G27" t="s">
        <v>333</v>
      </c>
    </row>
    <row r="28" spans="1:15" x14ac:dyDescent="0.25">
      <c r="A28" t="str">
        <v>MAMMOET</v>
      </c>
      <c r="B28" t="str">
        <v>I-19/0475-MBG</v>
      </c>
      <c r="C28" t="str">
        <v xml:space="preserve">EADI EMBRAGEM </v>
      </c>
      <c r="D28" s="114" t="s">
        <v>331</v>
      </c>
      <c r="E28" t="s">
        <v>332</v>
      </c>
      <c r="F28">
        <v>8943204</v>
      </c>
      <c r="G28" t="s">
        <v>333</v>
      </c>
    </row>
    <row r="29" spans="1:15" x14ac:dyDescent="0.25">
      <c r="A29" t="str">
        <v>MAMMOET</v>
      </c>
      <c r="B29" t="str">
        <v>E-23/0033-MBG</v>
      </c>
      <c r="C29" t="str">
        <v>MULTIRIO-RJ</v>
      </c>
      <c r="D29" s="114" t="s">
        <v>313</v>
      </c>
      <c r="E29" t="s">
        <v>314</v>
      </c>
      <c r="F29">
        <v>7921303</v>
      </c>
      <c r="G29" t="s">
        <v>115</v>
      </c>
    </row>
    <row r="30" spans="1:15" x14ac:dyDescent="0.25">
      <c r="A30" t="str">
        <v>MAMMOET</v>
      </c>
      <c r="B30" t="str">
        <v>I-22/0632-MBG</v>
      </c>
      <c r="C30" t="str">
        <v xml:space="preserve">PORTO DE SALVADOR - INTERMARITIMA TERMINAIS LTDA. </v>
      </c>
      <c r="D30" s="114" t="s">
        <v>321</v>
      </c>
      <c r="E30" t="s">
        <v>322</v>
      </c>
      <c r="F30">
        <v>5921304</v>
      </c>
      <c r="G30" t="s">
        <v>330</v>
      </c>
    </row>
    <row r="31" spans="1:15" x14ac:dyDescent="0.25">
      <c r="A31" t="str">
        <v>MAMMOET</v>
      </c>
      <c r="B31" t="str">
        <v>I-21/1596-MBG</v>
      </c>
      <c r="C31" t="str">
        <v>MULTIRIO-RJ</v>
      </c>
      <c r="D31" s="114" t="s">
        <v>313</v>
      </c>
      <c r="E31" t="s">
        <v>314</v>
      </c>
      <c r="F31">
        <v>7921303</v>
      </c>
      <c r="G31" t="s">
        <v>115</v>
      </c>
    </row>
    <row r="32" spans="1:15" x14ac:dyDescent="0.25">
      <c r="A32" t="str">
        <v>MAMMOET</v>
      </c>
      <c r="B32" t="str">
        <v>I-21/0555-MBG</v>
      </c>
      <c r="C32" t="str">
        <v>EADI EMBRAGEM-SP</v>
      </c>
      <c r="D32" s="114" t="s">
        <v>331</v>
      </c>
      <c r="E32" t="s">
        <v>332</v>
      </c>
      <c r="F32">
        <v>8943204</v>
      </c>
      <c r="G32" t="s">
        <v>333</v>
      </c>
    </row>
    <row r="33" spans="1:7" x14ac:dyDescent="0.25">
      <c r="A33" t="str">
        <v>MAMMOET</v>
      </c>
      <c r="B33" t="str">
        <v>I-22/0809-MBG</v>
      </c>
      <c r="C33" t="str">
        <v>IRF - PORTO DE SUAPE</v>
      </c>
      <c r="D33" s="114" t="s">
        <v>319</v>
      </c>
      <c r="E33" t="s">
        <v>25</v>
      </c>
      <c r="F33">
        <v>4931305</v>
      </c>
      <c r="G33" t="s">
        <v>320</v>
      </c>
    </row>
    <row r="34" spans="1:7" x14ac:dyDescent="0.25">
      <c r="A34" t="str">
        <v>MAMMOET</v>
      </c>
      <c r="B34" t="str">
        <v>I-22/0688-MBG</v>
      </c>
      <c r="C34" t="str">
        <v>IRF - PORTO DE SUAPE</v>
      </c>
      <c r="D34" s="114" t="s">
        <v>319</v>
      </c>
      <c r="E34" t="s">
        <v>25</v>
      </c>
      <c r="F34">
        <v>4931304</v>
      </c>
      <c r="G34" t="s">
        <v>32</v>
      </c>
    </row>
    <row r="35" spans="1:7" x14ac:dyDescent="0.25">
      <c r="A35" t="str">
        <v>MARLIM AZUL</v>
      </c>
      <c r="B35" t="str" cm="1">
        <f t="array" ref="B35">TRIM(_xlfn.TEXTSPLIT(IF(A35=A34,"",_xlfn.TEXTJOIN(", ",TRUE,_xlfn.XLOOKUP(A35&amp;" - "&amp;_xlfn.SEQUENCE(30),Main!$A$3:$A$56,Main!$D$3:$D$56,""))),,","))</f>
        <v>E-24/0119-MRL</v>
      </c>
      <c r="C35" t="str">
        <v>AEROPORTO INTERNACIONAL DE SAO PAULO/GUARULHOS</v>
      </c>
      <c r="D35" s="114" t="s">
        <v>308</v>
      </c>
      <c r="E35" t="s">
        <v>338</v>
      </c>
      <c r="F35">
        <v>8911101</v>
      </c>
      <c r="G35" t="s">
        <v>339</v>
      </c>
    </row>
    <row r="36" spans="1:7" x14ac:dyDescent="0.25">
      <c r="A36" t="str">
        <v>MEGASIL</v>
      </c>
      <c r="B36" t="str" cm="1">
        <f t="array" ref="B36:B46">TRIM(_xlfn.TEXTSPLIT(IF(A36=A35,"",_xlfn.TEXTJOIN(", ",TRUE,_xlfn.XLOOKUP(A36&amp;" - "&amp;_xlfn.SEQUENCE(30),Main!$A$3:$A$56,Main!$D$3:$D$56,""))),,","))</f>
        <v>I-20/1533-MEG</v>
      </c>
      <c r="C36" t="str">
        <v>EADI AURORA - SOROCABA</v>
      </c>
      <c r="D36" s="114" t="s">
        <v>334</v>
      </c>
      <c r="E36" t="s">
        <v>335</v>
      </c>
      <c r="F36">
        <v>8813201</v>
      </c>
      <c r="G36" t="s">
        <v>336</v>
      </c>
    </row>
    <row r="37" spans="1:7" x14ac:dyDescent="0.25">
      <c r="A37" t="str">
        <v>MEGASIL</v>
      </c>
      <c r="B37" t="str">
        <v>I-21/1334-MEG</v>
      </c>
      <c r="C37" t="str">
        <v>EADI AURORA - SOROCABA</v>
      </c>
      <c r="D37" s="114" t="s">
        <v>334</v>
      </c>
      <c r="E37" t="s">
        <v>335</v>
      </c>
      <c r="F37">
        <v>8813201</v>
      </c>
      <c r="G37" t="s">
        <v>336</v>
      </c>
    </row>
    <row r="38" spans="1:7" x14ac:dyDescent="0.25">
      <c r="A38" t="str">
        <v>MEGASIL</v>
      </c>
      <c r="B38" t="str">
        <v>I-17/1964-MEG</v>
      </c>
      <c r="C38" t="str">
        <v>EADI AURORA - SOROCABA</v>
      </c>
      <c r="D38" s="114" t="s">
        <v>334</v>
      </c>
      <c r="E38" t="s">
        <v>335</v>
      </c>
      <c r="F38">
        <v>8813201</v>
      </c>
      <c r="G38" t="s">
        <v>336</v>
      </c>
    </row>
    <row r="39" spans="1:7" x14ac:dyDescent="0.25">
      <c r="A39" t="str">
        <v>MEGASIL</v>
      </c>
      <c r="B39" t="str">
        <v>I-22/1926-MEG</v>
      </c>
      <c r="C39" t="str">
        <v>AURORA TERMINAIS - SOROCABA/SP</v>
      </c>
      <c r="D39" s="114" t="s">
        <v>331</v>
      </c>
      <c r="E39" t="s">
        <v>332</v>
      </c>
      <c r="F39">
        <v>8943213</v>
      </c>
      <c r="G39" t="s">
        <v>337</v>
      </c>
    </row>
    <row r="40" spans="1:7" x14ac:dyDescent="0.25">
      <c r="A40" t="str">
        <v>MEGASIL</v>
      </c>
      <c r="B40" t="str">
        <v>I-22/1689-MEG</v>
      </c>
      <c r="C40" t="str">
        <v>AURORA TERMINAIS - SOROCABA/SP</v>
      </c>
      <c r="D40" s="114" t="s">
        <v>331</v>
      </c>
      <c r="E40" t="s">
        <v>332</v>
      </c>
      <c r="F40">
        <v>8943213</v>
      </c>
      <c r="G40" t="s">
        <v>337</v>
      </c>
    </row>
    <row r="41" spans="1:7" x14ac:dyDescent="0.25">
      <c r="A41" t="str">
        <v>MEGASIL</v>
      </c>
      <c r="B41" t="str">
        <v>I-10/1287-MEG</v>
      </c>
      <c r="C41" t="str">
        <v>EADI SANTO ANDRÉ</v>
      </c>
      <c r="D41" s="114" t="s">
        <v>347</v>
      </c>
      <c r="E41" t="s">
        <v>332</v>
      </c>
      <c r="F41">
        <v>8943208</v>
      </c>
      <c r="G41" t="s">
        <v>348</v>
      </c>
    </row>
    <row r="42" spans="1:7" x14ac:dyDescent="0.25">
      <c r="A42" t="str">
        <v>MEGASIL</v>
      </c>
      <c r="B42" t="str">
        <v>I-10/1199-MEG</v>
      </c>
      <c r="C42" t="str">
        <v>EADI SANTO ANDRÉ</v>
      </c>
      <c r="D42" s="114" t="s">
        <v>347</v>
      </c>
      <c r="E42" t="s">
        <v>332</v>
      </c>
      <c r="F42">
        <v>8943208</v>
      </c>
      <c r="G42" t="s">
        <v>348</v>
      </c>
    </row>
    <row r="43" spans="1:7" x14ac:dyDescent="0.25">
      <c r="A43" t="str">
        <v>MEGASIL</v>
      </c>
      <c r="B43" t="str">
        <v>I-19/1042-MEG</v>
      </c>
      <c r="C43" t="str">
        <v>EADI AURORA - SOROCABA</v>
      </c>
      <c r="D43" s="114" t="s">
        <v>334</v>
      </c>
      <c r="E43" t="s">
        <v>335</v>
      </c>
      <c r="F43">
        <v>8813201</v>
      </c>
      <c r="G43" t="s">
        <v>336</v>
      </c>
    </row>
    <row r="44" spans="1:7" x14ac:dyDescent="0.25">
      <c r="A44" t="str">
        <v>MEGASIL</v>
      </c>
      <c r="B44" t="str">
        <v>I-23/1812-MEG</v>
      </c>
      <c r="C44" t="str">
        <v>AURORA TERMINAIS - SOROCABA/SP</v>
      </c>
      <c r="D44" s="114" t="s">
        <v>331</v>
      </c>
      <c r="E44" t="s">
        <v>332</v>
      </c>
      <c r="F44">
        <v>8943213</v>
      </c>
      <c r="G44" t="s">
        <v>337</v>
      </c>
    </row>
    <row r="45" spans="1:7" x14ac:dyDescent="0.25">
      <c r="A45" t="str">
        <v>MEGASIL</v>
      </c>
      <c r="B45" t="str">
        <v>I-23/1653-MEG</v>
      </c>
      <c r="C45" t="str">
        <v>AURORA TERMINAIS - SOROCABA/SP</v>
      </c>
      <c r="D45" s="114" t="s">
        <v>331</v>
      </c>
      <c r="E45" t="s">
        <v>332</v>
      </c>
      <c r="F45">
        <v>8943213</v>
      </c>
      <c r="G45" t="s">
        <v>337</v>
      </c>
    </row>
    <row r="46" spans="1:7" x14ac:dyDescent="0.25">
      <c r="A46" t="str">
        <v>MEGASIL</v>
      </c>
      <c r="B46" t="str">
        <v>I-24/0785-MEG</v>
      </c>
      <c r="C46" t="str">
        <v>AURORA TERMINAIS - SOROCABA/SP</v>
      </c>
      <c r="D46" s="114" t="s">
        <v>331</v>
      </c>
      <c r="E46" t="s">
        <v>332</v>
      </c>
      <c r="F46">
        <v>8943213</v>
      </c>
      <c r="G46" t="s">
        <v>337</v>
      </c>
    </row>
    <row r="47" spans="1:7" x14ac:dyDescent="0.25">
      <c r="A47" t="str">
        <v>MITSUBISHI</v>
      </c>
      <c r="B47" t="str" cm="1">
        <f t="array" ref="B47">_xlfn.TEXTSPLIT(IF(A47=A46,"",_xlfn.TEXTJOIN(", ",TRUE,_xlfn.XLOOKUP(A47&amp;" - "&amp;_xlfn.SEQUENCE(30),Main!$A$3:$A$56,Main!$D$3:$D$56,""))),,",")</f>
        <v>I-23/1919-MIT</v>
      </c>
      <c r="C47" t="str">
        <v>AEROPORTO INTERNACIONAL DE SAO PAULO/GUARULHOS</v>
      </c>
      <c r="D47" s="114" t="s">
        <v>308</v>
      </c>
      <c r="E47" t="s">
        <v>338</v>
      </c>
      <c r="F47">
        <v>8911101</v>
      </c>
      <c r="G47" t="s">
        <v>339</v>
      </c>
    </row>
    <row r="48" spans="1:7" x14ac:dyDescent="0.25">
      <c r="A48" t="str">
        <v>NEA TANKS</v>
      </c>
      <c r="B48" t="str" cm="1">
        <f t="array" ref="B48:B49">TRIM(_xlfn.TEXTSPLIT(IF(A48=A47,"",_xlfn.TEXTJOIN(", ",TRUE,_xlfn.XLOOKUP(A48&amp;" - "&amp;_xlfn.SEQUENCE(30),Main!$A$3:$A$56,Main!$D$3:$D$56,""))),,","))</f>
        <v>E-24/0052-NEA</v>
      </c>
      <c r="C48" t="str">
        <v>PORTO DE SANTOS - SP</v>
      </c>
      <c r="D48" s="114" t="s">
        <v>344</v>
      </c>
      <c r="E48" t="s">
        <v>345</v>
      </c>
      <c r="F48">
        <v>8931359</v>
      </c>
      <c r="G48" t="s">
        <v>346</v>
      </c>
    </row>
    <row r="49" spans="1:7" x14ac:dyDescent="0.25">
      <c r="A49" t="str">
        <v>NEA TANKS</v>
      </c>
      <c r="B49" t="str">
        <v>E-24/0004-NEA</v>
      </c>
      <c r="C49" t="str">
        <v>PORTO DE SANTOS - SP</v>
      </c>
      <c r="D49" s="114" t="s">
        <v>344</v>
      </c>
      <c r="E49" t="s">
        <v>345</v>
      </c>
      <c r="F49">
        <v>8931359</v>
      </c>
      <c r="G49" t="s">
        <v>346</v>
      </c>
    </row>
    <row r="50" spans="1:7" x14ac:dyDescent="0.25">
      <c r="A50" t="str">
        <v>TRANSDATA</v>
      </c>
      <c r="B50" t="str" cm="1">
        <f t="array" ref="B50:B52">TRIM(_xlfn.TEXTSPLIT(IF(A50=A49,"",_xlfn.TEXTJOIN(", ",TRUE,_xlfn.XLOOKUP(A50&amp;" - "&amp;_xlfn.SEQUENCE(30),Main!$A$3:$A$56,Main!$D$3:$D$56,""))),,","))</f>
        <v>I-23/0861-TRA</v>
      </c>
      <c r="C50" t="str">
        <v>TERMINAL MULTICARGAS - PORTO DO AÇU/RJ</v>
      </c>
      <c r="D50" s="114" t="s">
        <v>340</v>
      </c>
      <c r="E50" t="s">
        <v>341</v>
      </c>
      <c r="F50">
        <v>7301402</v>
      </c>
      <c r="G50" t="s">
        <v>329</v>
      </c>
    </row>
    <row r="51" spans="1:7" x14ac:dyDescent="0.25">
      <c r="A51" t="str">
        <v>TRANSDATA</v>
      </c>
      <c r="B51" t="str">
        <v>I-23/1722-TRA</v>
      </c>
      <c r="C51" t="str">
        <v>ALFÂNDEGA DO PORTO DO RIO DE JANEIRO</v>
      </c>
      <c r="D51" s="114" t="s">
        <v>313</v>
      </c>
      <c r="E51" t="s">
        <v>314</v>
      </c>
      <c r="F51">
        <v>7921303</v>
      </c>
      <c r="G51" t="s">
        <v>115</v>
      </c>
    </row>
    <row r="52" spans="1:7" x14ac:dyDescent="0.25">
      <c r="A52" t="str">
        <v>TRANSDATA</v>
      </c>
      <c r="B52" t="str">
        <v>I-24/1778-TRA</v>
      </c>
      <c r="C52" t="str">
        <v>ICTSI RIO BRASIL TERMINAL 1 SA - RIO DE JANEIRO/RJ</v>
      </c>
      <c r="D52" s="114" t="s">
        <v>313</v>
      </c>
      <c r="E52" t="s">
        <v>314</v>
      </c>
      <c r="F52">
        <v>7921302</v>
      </c>
      <c r="G52" t="s">
        <v>324</v>
      </c>
    </row>
    <row r="53" spans="1:7" x14ac:dyDescent="0.25">
      <c r="A53" t="str">
        <v>TSE S/A</v>
      </c>
      <c r="B53" t="str" cm="1">
        <f t="array" ref="B53">TRIM(_xlfn.TEXTSPLIT(IF(A53=A52,"",_xlfn.TEXTJOIN(", ",TRUE,_xlfn.XLOOKUP(A53&amp;" - "&amp;_xlfn.SEQUENCE(30),Main!$A$3:$A$56,Main!$D$3:$D$56,""))),,","))</f>
        <v>I-24/1189-TOY</v>
      </c>
      <c r="C53" t="str">
        <v>PORTO DE ITAQUI - SÃO LUIS/MA</v>
      </c>
      <c r="D53" s="114" t="s">
        <v>342</v>
      </c>
      <c r="E53" t="s">
        <v>343</v>
      </c>
      <c r="F53">
        <v>3931301</v>
      </c>
      <c r="G53" t="s">
        <v>337</v>
      </c>
    </row>
    <row r="54" spans="1:7" x14ac:dyDescent="0.25">
      <c r="A54" t="str">
        <v>VEOLIA</v>
      </c>
      <c r="B54" t="str" cm="1">
        <f t="array" ref="B54:B55">TRIM(_xlfn.TEXTSPLIT(IF(A54=A53,"",_xlfn.TEXTJOIN(", ",TRUE,_xlfn.XLOOKUP(A54&amp;" - "&amp;_xlfn.SEQUENCE(30),Main!$A$3:$A$56,Main!$D$3:$D$56,""))),,","))</f>
        <v>I-24/1022-VEO</v>
      </c>
      <c r="C54" t="str">
        <v>AEROPORTO INTERNACIONAL DE SAO PAULO/GUARULHOS</v>
      </c>
      <c r="D54" s="114" t="s">
        <v>308</v>
      </c>
      <c r="E54" t="s">
        <v>338</v>
      </c>
      <c r="F54">
        <v>8911101</v>
      </c>
      <c r="G54" t="s">
        <v>339</v>
      </c>
    </row>
    <row r="55" spans="1:7" x14ac:dyDescent="0.25">
      <c r="A55" t="str">
        <v>VEOLIA</v>
      </c>
      <c r="B55" t="str">
        <v>I-24/1826-VEO</v>
      </c>
      <c r="C55" t="str">
        <v>AURORA TERMINAIS - SOROCABA/SP</v>
      </c>
      <c r="D55" s="114" t="s">
        <v>331</v>
      </c>
      <c r="E55" t="s">
        <v>332</v>
      </c>
      <c r="F55">
        <v>8943209</v>
      </c>
      <c r="G55" t="s">
        <v>309</v>
      </c>
    </row>
  </sheetData>
  <conditionalFormatting sqref="D2:D5 D7:D28 D30:D34 D36:D55">
    <cfRule type="duplicateValues" dxfId="30" priority="30"/>
  </conditionalFormatting>
  <conditionalFormatting sqref="D6">
    <cfRule type="duplicateValues" dxfId="29" priority="9"/>
  </conditionalFormatting>
  <conditionalFormatting sqref="D29">
    <cfRule type="duplicateValues" dxfId="28" priority="6"/>
  </conditionalFormatting>
  <conditionalFormatting sqref="D35">
    <cfRule type="duplicateValues" dxfId="27" priority="3"/>
  </conditionalFormatting>
  <conditionalFormatting sqref="F2:F5 F10 F12:F20 F23:F28 F32:F33 F52:F53 F55 F7:F8 F44:F50 F36:F42">
    <cfRule type="duplicateValues" dxfId="26" priority="29"/>
  </conditionalFormatting>
  <conditionalFormatting sqref="F2:F5 F23:F28 F32:F33 F52:F53 F55 F7:F20 F44:F50 F36:F42">
    <cfRule type="duplicateValues" dxfId="25" priority="26"/>
  </conditionalFormatting>
  <conditionalFormatting sqref="F6">
    <cfRule type="duplicateValues" dxfId="24" priority="7"/>
    <cfRule type="duplicateValues" dxfId="23" priority="8"/>
  </conditionalFormatting>
  <conditionalFormatting sqref="F9">
    <cfRule type="duplicateValues" dxfId="22" priority="28"/>
  </conditionalFormatting>
  <conditionalFormatting sqref="F11">
    <cfRule type="duplicateValues" dxfId="21" priority="27"/>
  </conditionalFormatting>
  <conditionalFormatting sqref="F21">
    <cfRule type="duplicateValues" dxfId="20" priority="24"/>
    <cfRule type="duplicateValues" dxfId="19" priority="25"/>
  </conditionalFormatting>
  <conditionalFormatting sqref="F22">
    <cfRule type="duplicateValues" dxfId="18" priority="22"/>
    <cfRule type="duplicateValues" dxfId="17" priority="23"/>
  </conditionalFormatting>
  <conditionalFormatting sqref="F29">
    <cfRule type="duplicateValues" dxfId="16" priority="4"/>
    <cfRule type="duplicateValues" dxfId="15" priority="5"/>
  </conditionalFormatting>
  <conditionalFormatting sqref="F30">
    <cfRule type="duplicateValues" dxfId="14" priority="20"/>
    <cfRule type="duplicateValues" dxfId="13" priority="21"/>
  </conditionalFormatting>
  <conditionalFormatting sqref="F31">
    <cfRule type="duplicateValues" dxfId="12" priority="18"/>
    <cfRule type="duplicateValues" dxfId="11" priority="19"/>
  </conditionalFormatting>
  <conditionalFormatting sqref="F34">
    <cfRule type="duplicateValues" dxfId="10" priority="16"/>
    <cfRule type="duplicateValues" dxfId="9" priority="17"/>
  </conditionalFormatting>
  <conditionalFormatting sqref="F35">
    <cfRule type="duplicateValues" dxfId="8" priority="1"/>
    <cfRule type="duplicateValues" dxfId="7" priority="2"/>
  </conditionalFormatting>
  <conditionalFormatting sqref="F43">
    <cfRule type="duplicateValues" dxfId="6" priority="14"/>
    <cfRule type="duplicateValues" dxfId="5" priority="15"/>
  </conditionalFormatting>
  <conditionalFormatting sqref="F51">
    <cfRule type="duplicateValues" dxfId="4" priority="12"/>
    <cfRule type="duplicateValues" dxfId="3" priority="13"/>
  </conditionalFormatting>
  <conditionalFormatting sqref="F54">
    <cfRule type="duplicateValues" dxfId="2" priority="10"/>
    <cfRule type="duplicateValues" dxfId="1" priority="11"/>
  </conditionalFormatting>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2F1CB-0587-44BB-938D-7F0380043364}">
  <sheetPr>
    <tabColor theme="4"/>
  </sheetPr>
  <dimension ref="A1:O75"/>
  <sheetViews>
    <sheetView topLeftCell="A50" workbookViewId="0">
      <selection activeCell="E62" sqref="E62"/>
    </sheetView>
  </sheetViews>
  <sheetFormatPr defaultRowHeight="15" x14ac:dyDescent="0.25"/>
  <cols>
    <col min="1" max="1" width="16.85546875" bestFit="1" customWidth="1"/>
    <col min="2" max="2" width="14.5703125" bestFit="1" customWidth="1"/>
    <col min="3" max="3" width="19.85546875" bestFit="1" customWidth="1"/>
    <col min="4" max="4" width="26.5703125" bestFit="1" customWidth="1"/>
    <col min="5" max="5" width="13.140625" bestFit="1" customWidth="1"/>
    <col min="9" max="9" width="32.28515625" bestFit="1" customWidth="1"/>
  </cols>
  <sheetData>
    <row r="1" spans="1:15" x14ac:dyDescent="0.25">
      <c r="C1" t="s">
        <v>349</v>
      </c>
      <c r="D1" t="s">
        <v>350</v>
      </c>
      <c r="E1" t="s">
        <v>353</v>
      </c>
      <c r="J1">
        <v>1</v>
      </c>
      <c r="K1">
        <v>3911301</v>
      </c>
      <c r="L1" t="s">
        <v>431</v>
      </c>
      <c r="M1" t="s">
        <v>432</v>
      </c>
      <c r="N1" t="s">
        <v>433</v>
      </c>
      <c r="O1">
        <v>317900</v>
      </c>
    </row>
    <row r="2" spans="1:15" x14ac:dyDescent="0.25">
      <c r="A2" t="s">
        <v>19</v>
      </c>
      <c r="B2" t="s">
        <v>20</v>
      </c>
      <c r="E2" s="118"/>
      <c r="F2" cm="1">
        <f t="array" ref="F2:F55">_xlfn.XLOOKUP(B2:B55,TB_RECINTO_ALFANDEGADO!B2:B55,TB_RECINTO_ALFANDEGADO!F2:F55)</f>
        <v>4931305</v>
      </c>
      <c r="G2" cm="1">
        <f t="array" ref="G2:G55">_xlfn.XLOOKUP(_xlfn.ANCHORARRAY(F2),K1:K19,J1:J19)</f>
        <v>4</v>
      </c>
      <c r="J2">
        <v>2</v>
      </c>
      <c r="K2">
        <v>3931301</v>
      </c>
      <c r="L2" t="s">
        <v>434</v>
      </c>
      <c r="M2" t="s">
        <v>435</v>
      </c>
      <c r="N2" t="s">
        <v>436</v>
      </c>
      <c r="O2">
        <v>317903</v>
      </c>
    </row>
    <row r="3" spans="1:15" x14ac:dyDescent="0.25">
      <c r="A3" t="s">
        <v>19</v>
      </c>
      <c r="B3" t="s">
        <v>27</v>
      </c>
      <c r="E3" s="118"/>
      <c r="F3">
        <v>4931304</v>
      </c>
      <c r="G3">
        <v>3</v>
      </c>
      <c r="J3">
        <v>3</v>
      </c>
      <c r="K3">
        <v>4931304</v>
      </c>
      <c r="L3" t="s">
        <v>437</v>
      </c>
      <c r="M3" t="s">
        <v>438</v>
      </c>
      <c r="N3" t="s">
        <v>439</v>
      </c>
      <c r="O3">
        <v>417902</v>
      </c>
    </row>
    <row r="4" spans="1:15" x14ac:dyDescent="0.25">
      <c r="A4" t="s">
        <v>19</v>
      </c>
      <c r="B4" t="s">
        <v>34</v>
      </c>
      <c r="E4" s="118"/>
      <c r="F4">
        <v>4931305</v>
      </c>
      <c r="G4">
        <v>4</v>
      </c>
      <c r="J4">
        <v>4</v>
      </c>
      <c r="K4">
        <v>4931305</v>
      </c>
      <c r="L4" t="s">
        <v>440</v>
      </c>
      <c r="M4" t="s">
        <v>441</v>
      </c>
      <c r="N4" t="s">
        <v>439</v>
      </c>
      <c r="O4">
        <v>417902</v>
      </c>
    </row>
    <row r="5" spans="1:15" x14ac:dyDescent="0.25">
      <c r="A5" t="s">
        <v>19</v>
      </c>
      <c r="B5" t="s">
        <v>38</v>
      </c>
      <c r="C5" t="s">
        <v>351</v>
      </c>
      <c r="D5" t="s">
        <v>352</v>
      </c>
      <c r="E5" s="118">
        <v>46555</v>
      </c>
      <c r="F5">
        <v>5921301</v>
      </c>
      <c r="G5">
        <v>5</v>
      </c>
      <c r="I5" t="str">
        <f>"('"&amp;D5&amp;"', '"&amp;TEXT(E5,"AAAA-MM-DD")&amp;"', "&amp;G5&amp;"),"</f>
        <v>('02-0775-0995466', '2027-06-17', 5),</v>
      </c>
      <c r="J5">
        <v>5</v>
      </c>
      <c r="K5">
        <v>5921301</v>
      </c>
      <c r="L5" t="s">
        <v>442</v>
      </c>
      <c r="M5" t="s">
        <v>443</v>
      </c>
      <c r="N5" t="s">
        <v>444</v>
      </c>
      <c r="O5">
        <v>517800</v>
      </c>
    </row>
    <row r="6" spans="1:15" x14ac:dyDescent="0.25">
      <c r="A6" t="s">
        <v>45</v>
      </c>
      <c r="B6" t="s">
        <v>46</v>
      </c>
      <c r="E6" s="118"/>
      <c r="F6">
        <v>7920001</v>
      </c>
      <c r="G6">
        <v>8</v>
      </c>
      <c r="J6">
        <v>6</v>
      </c>
      <c r="K6">
        <v>5921304</v>
      </c>
      <c r="L6" t="s">
        <v>445</v>
      </c>
      <c r="M6" t="s">
        <v>443</v>
      </c>
      <c r="N6" t="s">
        <v>444</v>
      </c>
      <c r="O6">
        <v>517800</v>
      </c>
    </row>
    <row r="7" spans="1:15" x14ac:dyDescent="0.25">
      <c r="A7" t="s">
        <v>19</v>
      </c>
      <c r="B7" t="s">
        <v>53</v>
      </c>
      <c r="C7" t="s">
        <v>354</v>
      </c>
      <c r="D7" t="s">
        <v>355</v>
      </c>
      <c r="E7" s="118">
        <v>46190</v>
      </c>
      <c r="F7">
        <v>4931304</v>
      </c>
      <c r="G7">
        <v>3</v>
      </c>
      <c r="I7" t="str">
        <f>"('"&amp;D7&amp;"', '"&amp;TEXT(E7,"AAAA-MM-DD")&amp;"', "&amp;G7&amp;"),"</f>
        <v>('02-0775-0929867', '2026-06-17', 3),</v>
      </c>
      <c r="J7">
        <v>7</v>
      </c>
      <c r="K7">
        <v>7301402</v>
      </c>
      <c r="L7" t="s">
        <v>446</v>
      </c>
      <c r="M7" t="s">
        <v>447</v>
      </c>
      <c r="N7" t="s">
        <v>448</v>
      </c>
      <c r="O7">
        <v>710400</v>
      </c>
    </row>
    <row r="8" spans="1:15" x14ac:dyDescent="0.25">
      <c r="A8" t="s">
        <v>60</v>
      </c>
      <c r="B8" t="s">
        <v>61</v>
      </c>
      <c r="E8" s="118"/>
      <c r="F8">
        <v>8911101</v>
      </c>
      <c r="G8">
        <v>12</v>
      </c>
      <c r="J8">
        <v>8</v>
      </c>
      <c r="K8">
        <v>7920001</v>
      </c>
      <c r="L8" t="s">
        <v>449</v>
      </c>
      <c r="M8" t="s">
        <v>450</v>
      </c>
      <c r="N8" t="s">
        <v>448</v>
      </c>
      <c r="O8">
        <v>717600</v>
      </c>
    </row>
    <row r="9" spans="1:15" x14ac:dyDescent="0.25">
      <c r="A9" t="s">
        <v>67</v>
      </c>
      <c r="B9" t="s">
        <v>68</v>
      </c>
      <c r="E9" s="118"/>
      <c r="F9">
        <v>8813201</v>
      </c>
      <c r="G9">
        <v>11</v>
      </c>
      <c r="J9">
        <v>9</v>
      </c>
      <c r="K9">
        <v>7921302</v>
      </c>
      <c r="L9" t="s">
        <v>451</v>
      </c>
      <c r="M9" t="s">
        <v>450</v>
      </c>
      <c r="N9" t="s">
        <v>448</v>
      </c>
      <c r="O9">
        <v>717600</v>
      </c>
    </row>
    <row r="10" spans="1:15" x14ac:dyDescent="0.25">
      <c r="A10" t="s">
        <v>45</v>
      </c>
      <c r="B10" t="s">
        <v>74</v>
      </c>
      <c r="E10" s="118"/>
      <c r="F10">
        <v>3911301</v>
      </c>
      <c r="G10">
        <v>1</v>
      </c>
      <c r="J10">
        <v>10</v>
      </c>
      <c r="K10">
        <v>7921303</v>
      </c>
      <c r="L10" t="s">
        <v>452</v>
      </c>
      <c r="M10" t="s">
        <v>450</v>
      </c>
      <c r="N10" t="s">
        <v>448</v>
      </c>
      <c r="O10">
        <v>717600</v>
      </c>
    </row>
    <row r="11" spans="1:15" x14ac:dyDescent="0.25">
      <c r="A11" t="s">
        <v>80</v>
      </c>
      <c r="B11" t="s">
        <v>81</v>
      </c>
      <c r="E11" s="118"/>
      <c r="F11">
        <v>8931359</v>
      </c>
      <c r="G11">
        <v>13</v>
      </c>
      <c r="J11">
        <v>11</v>
      </c>
      <c r="K11">
        <v>8813201</v>
      </c>
      <c r="L11" t="s">
        <v>453</v>
      </c>
      <c r="M11" t="s">
        <v>454</v>
      </c>
      <c r="N11" t="s">
        <v>455</v>
      </c>
      <c r="O11">
        <v>811000</v>
      </c>
    </row>
    <row r="12" spans="1:15" x14ac:dyDescent="0.25">
      <c r="A12" t="s">
        <v>80</v>
      </c>
      <c r="B12" t="s">
        <v>85</v>
      </c>
      <c r="E12" s="118"/>
      <c r="F12">
        <v>8931359</v>
      </c>
      <c r="G12">
        <v>13</v>
      </c>
      <c r="J12">
        <v>12</v>
      </c>
      <c r="K12">
        <v>8911101</v>
      </c>
      <c r="L12" t="s">
        <v>456</v>
      </c>
      <c r="M12" t="s">
        <v>457</v>
      </c>
      <c r="N12" t="s">
        <v>455</v>
      </c>
      <c r="O12">
        <v>817600</v>
      </c>
    </row>
    <row r="13" spans="1:15" x14ac:dyDescent="0.25">
      <c r="A13" t="s">
        <v>19</v>
      </c>
      <c r="B13" t="s">
        <v>89</v>
      </c>
      <c r="C13" t="s">
        <v>356</v>
      </c>
      <c r="D13" t="s">
        <v>357</v>
      </c>
      <c r="E13" s="118">
        <v>46105</v>
      </c>
      <c r="F13">
        <v>7921303</v>
      </c>
      <c r="G13">
        <v>10</v>
      </c>
      <c r="I13" t="str">
        <f>"('"&amp;D13&amp;"', '"&amp;TEXT(E13,"AAAA-MM-DD")&amp;"', "&amp;G13&amp;"),"</f>
        <v>('02-0775-0929900', '2026-03-24', 10),</v>
      </c>
      <c r="J13">
        <v>13</v>
      </c>
      <c r="K13">
        <v>8931359</v>
      </c>
      <c r="L13" t="s">
        <v>458</v>
      </c>
      <c r="M13" t="s">
        <v>459</v>
      </c>
      <c r="N13" t="s">
        <v>455</v>
      </c>
      <c r="O13">
        <v>817800</v>
      </c>
    </row>
    <row r="14" spans="1:15" x14ac:dyDescent="0.25">
      <c r="A14" t="s">
        <v>19</v>
      </c>
      <c r="B14" t="s">
        <v>95</v>
      </c>
      <c r="E14" s="118"/>
      <c r="F14">
        <v>7921302</v>
      </c>
      <c r="G14">
        <v>9</v>
      </c>
      <c r="J14">
        <v>14</v>
      </c>
      <c r="K14">
        <v>8943204</v>
      </c>
      <c r="L14" t="s">
        <v>460</v>
      </c>
      <c r="M14" t="s">
        <v>455</v>
      </c>
      <c r="N14" t="s">
        <v>455</v>
      </c>
      <c r="O14">
        <v>817900</v>
      </c>
    </row>
    <row r="15" spans="1:15" x14ac:dyDescent="0.25">
      <c r="A15" t="s">
        <v>19</v>
      </c>
      <c r="B15" t="s">
        <v>101</v>
      </c>
      <c r="C15" t="s">
        <v>358</v>
      </c>
      <c r="D15" t="s">
        <v>359</v>
      </c>
      <c r="E15" s="118">
        <v>46871</v>
      </c>
      <c r="F15">
        <v>7921302</v>
      </c>
      <c r="G15">
        <v>9</v>
      </c>
      <c r="I15" t="str">
        <f t="shared" ref="I15:I20" si="0">"('"&amp;D15&amp;"', '"&amp;TEXT(E15,"AAAA-MM-DD")&amp;"', "&amp;G15&amp;"),"</f>
        <v>('02-0775-0990491', '2028-04-28', 9),</v>
      </c>
      <c r="J15">
        <v>15</v>
      </c>
      <c r="K15">
        <v>8943208</v>
      </c>
      <c r="L15" t="s">
        <v>461</v>
      </c>
      <c r="M15" t="s">
        <v>455</v>
      </c>
      <c r="N15" t="s">
        <v>455</v>
      </c>
      <c r="O15">
        <v>815500</v>
      </c>
    </row>
    <row r="16" spans="1:15" x14ac:dyDescent="0.25">
      <c r="A16" t="s">
        <v>19</v>
      </c>
      <c r="B16" t="s">
        <v>105</v>
      </c>
      <c r="C16" t="s">
        <v>360</v>
      </c>
      <c r="D16" t="s">
        <v>361</v>
      </c>
      <c r="E16" s="118">
        <v>46688</v>
      </c>
      <c r="F16">
        <v>9801303</v>
      </c>
      <c r="G16">
        <v>17</v>
      </c>
      <c r="I16" t="str">
        <f t="shared" si="0"/>
        <v>('02-0775-0971950', '2027-10-28', 17),</v>
      </c>
      <c r="J16">
        <v>16</v>
      </c>
      <c r="K16">
        <v>8943213</v>
      </c>
      <c r="L16" t="s">
        <v>434</v>
      </c>
      <c r="M16" t="s">
        <v>455</v>
      </c>
      <c r="N16" t="s">
        <v>455</v>
      </c>
      <c r="O16">
        <v>817900</v>
      </c>
    </row>
    <row r="17" spans="1:15" x14ac:dyDescent="0.25">
      <c r="A17" t="s">
        <v>19</v>
      </c>
      <c r="B17" t="s">
        <v>111</v>
      </c>
      <c r="D17" t="s">
        <v>362</v>
      </c>
      <c r="E17" s="118">
        <v>46927</v>
      </c>
      <c r="F17">
        <v>7921303</v>
      </c>
      <c r="G17">
        <v>10</v>
      </c>
      <c r="I17" t="str">
        <f t="shared" si="0"/>
        <v>('02-0775-0925644', '2028-06-23', 10),</v>
      </c>
      <c r="J17">
        <v>17</v>
      </c>
      <c r="K17">
        <v>9801303</v>
      </c>
      <c r="L17" t="s">
        <v>462</v>
      </c>
      <c r="M17" t="s">
        <v>463</v>
      </c>
      <c r="N17" t="s">
        <v>464</v>
      </c>
      <c r="O17">
        <v>917800</v>
      </c>
    </row>
    <row r="18" spans="1:15" x14ac:dyDescent="0.25">
      <c r="A18" t="s">
        <v>19</v>
      </c>
      <c r="B18" t="s">
        <v>117</v>
      </c>
      <c r="D18" t="s">
        <v>363</v>
      </c>
      <c r="E18" s="118">
        <v>45767</v>
      </c>
      <c r="F18">
        <v>7921303</v>
      </c>
      <c r="G18">
        <v>10</v>
      </c>
      <c r="I18" t="str">
        <f t="shared" si="0"/>
        <v>('0775.22.1.817-7', '2025-04-20', 10),</v>
      </c>
      <c r="J18">
        <v>18</v>
      </c>
      <c r="K18">
        <v>2931605</v>
      </c>
      <c r="L18" t="s">
        <v>465</v>
      </c>
      <c r="M18" t="s">
        <v>466</v>
      </c>
      <c r="N18" t="s">
        <v>317</v>
      </c>
      <c r="O18">
        <v>227600</v>
      </c>
    </row>
    <row r="19" spans="1:15" x14ac:dyDescent="0.25">
      <c r="A19" t="s">
        <v>19</v>
      </c>
      <c r="B19" t="s">
        <v>122</v>
      </c>
      <c r="C19" t="s">
        <v>364</v>
      </c>
      <c r="D19" t="s">
        <v>365</v>
      </c>
      <c r="E19" s="118">
        <v>46226</v>
      </c>
      <c r="F19">
        <v>7921303</v>
      </c>
      <c r="G19">
        <v>10</v>
      </c>
      <c r="I19" t="str">
        <f t="shared" si="0"/>
        <v>('02-0775-0931811', '2026-07-23', 10),</v>
      </c>
      <c r="J19">
        <v>19</v>
      </c>
      <c r="K19">
        <v>8943209</v>
      </c>
      <c r="L19" t="s">
        <v>467</v>
      </c>
      <c r="M19" t="s">
        <v>455</v>
      </c>
      <c r="N19" t="s">
        <v>332</v>
      </c>
      <c r="O19">
        <v>817900</v>
      </c>
    </row>
    <row r="20" spans="1:15" x14ac:dyDescent="0.25">
      <c r="A20" t="s">
        <v>19</v>
      </c>
      <c r="B20" t="s">
        <v>127</v>
      </c>
      <c r="D20" t="s">
        <v>366</v>
      </c>
      <c r="E20" s="118">
        <v>46226</v>
      </c>
      <c r="F20">
        <v>7301402</v>
      </c>
      <c r="G20">
        <v>7</v>
      </c>
      <c r="I20" t="str">
        <f t="shared" si="0"/>
        <v>('02-0775-0929956', '2026-07-23', 7),</v>
      </c>
    </row>
    <row r="21" spans="1:15" x14ac:dyDescent="0.25">
      <c r="A21" t="s">
        <v>19</v>
      </c>
      <c r="B21" t="s">
        <v>134</v>
      </c>
      <c r="E21" s="118"/>
      <c r="F21">
        <v>7301402</v>
      </c>
      <c r="G21">
        <v>7</v>
      </c>
    </row>
    <row r="22" spans="1:15" x14ac:dyDescent="0.25">
      <c r="A22" t="s">
        <v>19</v>
      </c>
      <c r="B22" t="s">
        <v>139</v>
      </c>
      <c r="D22" t="s">
        <v>367</v>
      </c>
      <c r="E22" s="118">
        <v>45770</v>
      </c>
      <c r="F22">
        <v>7921303</v>
      </c>
      <c r="G22">
        <v>10</v>
      </c>
      <c r="I22" t="str">
        <f>"('"&amp;D22&amp;"', '"&amp;TEXT(E22,"AAAA-MM-DD")&amp;"', "&amp;G22&amp;"),"</f>
        <v>('0775.22.1.816-9', '2025-04-23', 10),</v>
      </c>
    </row>
    <row r="23" spans="1:15" x14ac:dyDescent="0.25">
      <c r="A23" t="s">
        <v>19</v>
      </c>
      <c r="B23" t="s">
        <v>144</v>
      </c>
      <c r="E23" s="118"/>
      <c r="F23">
        <v>4931304</v>
      </c>
      <c r="G23">
        <v>3</v>
      </c>
    </row>
    <row r="24" spans="1:15" x14ac:dyDescent="0.25">
      <c r="A24" t="s">
        <v>19</v>
      </c>
      <c r="B24" t="s">
        <v>149</v>
      </c>
      <c r="C24" t="s">
        <v>368</v>
      </c>
      <c r="D24" t="s">
        <v>369</v>
      </c>
      <c r="E24" s="118">
        <v>46540</v>
      </c>
      <c r="F24">
        <v>5921304</v>
      </c>
      <c r="G24">
        <v>6</v>
      </c>
      <c r="I24" t="str">
        <f t="shared" ref="I24:I27" si="1">"('"&amp;D24&amp;"', '"&amp;TEXT(E24,"AAAA-MM-DD")&amp;"', "&amp;G24&amp;"),"</f>
        <v>('02-0775-0917395', '2027-06-02', 6),</v>
      </c>
    </row>
    <row r="25" spans="1:15" x14ac:dyDescent="0.25">
      <c r="A25" t="s">
        <v>19</v>
      </c>
      <c r="B25" t="s">
        <v>154</v>
      </c>
      <c r="C25" t="s">
        <v>370</v>
      </c>
      <c r="D25" t="s">
        <v>371</v>
      </c>
      <c r="E25" s="118">
        <v>46540</v>
      </c>
      <c r="F25">
        <v>5921304</v>
      </c>
      <c r="G25">
        <v>6</v>
      </c>
      <c r="I25" t="str">
        <f t="shared" si="1"/>
        <v>('02-0775-0917390', '2027-06-02', 6),</v>
      </c>
    </row>
    <row r="26" spans="1:15" x14ac:dyDescent="0.25">
      <c r="A26" t="s">
        <v>19</v>
      </c>
      <c r="B26" t="s">
        <v>158</v>
      </c>
      <c r="C26" t="s">
        <v>372</v>
      </c>
      <c r="D26" t="s">
        <v>373</v>
      </c>
      <c r="E26" s="118">
        <v>46540</v>
      </c>
      <c r="F26">
        <v>5921304</v>
      </c>
      <c r="G26">
        <v>6</v>
      </c>
      <c r="I26" t="str">
        <f t="shared" si="1"/>
        <v>('02-0775-0919034', '2027-06-02', 6),</v>
      </c>
    </row>
    <row r="27" spans="1:15" x14ac:dyDescent="0.25">
      <c r="A27" t="s">
        <v>19</v>
      </c>
      <c r="B27" t="s">
        <v>162</v>
      </c>
      <c r="C27" t="s">
        <v>374</v>
      </c>
      <c r="D27" t="s">
        <v>375</v>
      </c>
      <c r="E27" s="118">
        <v>46540</v>
      </c>
      <c r="F27">
        <v>5921304</v>
      </c>
      <c r="G27">
        <v>6</v>
      </c>
      <c r="I27" t="str">
        <f t="shared" si="1"/>
        <v>('02-0775-0920542', '2027-06-02', 6),</v>
      </c>
    </row>
    <row r="28" spans="1:15" x14ac:dyDescent="0.25">
      <c r="A28" t="s">
        <v>166</v>
      </c>
      <c r="B28" t="s">
        <v>167</v>
      </c>
      <c r="E28" s="118"/>
      <c r="F28">
        <v>8911101</v>
      </c>
      <c r="G28">
        <v>12</v>
      </c>
    </row>
    <row r="29" spans="1:15" x14ac:dyDescent="0.25">
      <c r="A29" t="s">
        <v>19</v>
      </c>
      <c r="B29" t="s">
        <v>170</v>
      </c>
      <c r="E29" s="118"/>
      <c r="F29">
        <v>8943204</v>
      </c>
      <c r="G29">
        <v>14</v>
      </c>
    </row>
    <row r="30" spans="1:15" x14ac:dyDescent="0.25">
      <c r="A30" t="s">
        <v>19</v>
      </c>
      <c r="B30" t="s">
        <v>177</v>
      </c>
      <c r="E30" s="118"/>
      <c r="F30">
        <v>8943204</v>
      </c>
      <c r="G30">
        <v>14</v>
      </c>
    </row>
    <row r="31" spans="1:15" x14ac:dyDescent="0.25">
      <c r="A31" t="s">
        <v>183</v>
      </c>
      <c r="B31" t="s">
        <v>184</v>
      </c>
      <c r="E31" s="118"/>
      <c r="F31">
        <v>8911101</v>
      </c>
      <c r="G31">
        <v>12</v>
      </c>
    </row>
    <row r="32" spans="1:15" x14ac:dyDescent="0.25">
      <c r="A32" t="s">
        <v>19</v>
      </c>
      <c r="B32" t="s">
        <v>189</v>
      </c>
      <c r="E32" s="118"/>
      <c r="F32">
        <v>7921303</v>
      </c>
      <c r="G32">
        <v>10</v>
      </c>
    </row>
    <row r="33" spans="1:9" x14ac:dyDescent="0.25">
      <c r="A33" t="s">
        <v>19</v>
      </c>
      <c r="B33" t="s">
        <v>194</v>
      </c>
      <c r="E33" s="118"/>
      <c r="F33">
        <v>5921304</v>
      </c>
      <c r="G33">
        <v>6</v>
      </c>
    </row>
    <row r="34" spans="1:9" x14ac:dyDescent="0.25">
      <c r="A34" t="s">
        <v>19</v>
      </c>
      <c r="B34" t="s">
        <v>198</v>
      </c>
      <c r="E34" s="118"/>
      <c r="F34">
        <v>7921303</v>
      </c>
      <c r="G34">
        <v>10</v>
      </c>
    </row>
    <row r="35" spans="1:9" x14ac:dyDescent="0.25">
      <c r="A35" t="s">
        <v>19</v>
      </c>
      <c r="B35" t="s">
        <v>202</v>
      </c>
      <c r="E35" s="118"/>
      <c r="F35">
        <v>8943204</v>
      </c>
      <c r="G35">
        <v>14</v>
      </c>
    </row>
    <row r="36" spans="1:9" x14ac:dyDescent="0.25">
      <c r="A36" t="s">
        <v>19</v>
      </c>
      <c r="B36" t="s">
        <v>207</v>
      </c>
      <c r="C36" t="s">
        <v>376</v>
      </c>
      <c r="D36" t="s">
        <v>377</v>
      </c>
      <c r="E36" s="118">
        <v>46588</v>
      </c>
      <c r="F36">
        <v>4931305</v>
      </c>
      <c r="G36">
        <v>4</v>
      </c>
      <c r="I36" t="str">
        <f t="shared" ref="I36:I37" si="2">"('"&amp;D36&amp;"', '"&amp;TEXT(E36,"AAAA-MM-DD")&amp;"', "&amp;G36&amp;"),"</f>
        <v>('02-0775-0916249', '2027-07-20', 4),</v>
      </c>
    </row>
    <row r="37" spans="1:9" x14ac:dyDescent="0.25">
      <c r="A37" t="s">
        <v>19</v>
      </c>
      <c r="B37" t="s">
        <v>210</v>
      </c>
      <c r="C37" t="s">
        <v>378</v>
      </c>
      <c r="D37" t="s">
        <v>379</v>
      </c>
      <c r="E37" s="118">
        <v>46655</v>
      </c>
      <c r="F37">
        <v>4931304</v>
      </c>
      <c r="G37">
        <v>3</v>
      </c>
      <c r="I37" t="str">
        <f t="shared" si="2"/>
        <v>('02-0775-0948641', '2027-09-25', 3),</v>
      </c>
    </row>
    <row r="38" spans="1:9" x14ac:dyDescent="0.25">
      <c r="A38" t="s">
        <v>45</v>
      </c>
      <c r="B38" t="s">
        <v>214</v>
      </c>
      <c r="E38" s="118"/>
      <c r="F38">
        <v>2931605</v>
      </c>
      <c r="G38">
        <v>18</v>
      </c>
    </row>
    <row r="39" spans="1:9" x14ac:dyDescent="0.25">
      <c r="A39" t="s">
        <v>220</v>
      </c>
      <c r="B39" t="s">
        <v>221</v>
      </c>
      <c r="D39" s="114" t="s">
        <v>380</v>
      </c>
      <c r="E39" s="118">
        <v>45894</v>
      </c>
      <c r="F39">
        <v>7301402</v>
      </c>
      <c r="G39">
        <v>7</v>
      </c>
      <c r="I39" t="str">
        <f>"('"&amp;D39&amp;"', '"&amp;TEXT(E39,"AAAA-MM-DD")&amp;"', "&amp;G39&amp;"),"</f>
        <v>('0306920239907750984452000', '2025-08-25', 7),</v>
      </c>
    </row>
    <row r="40" spans="1:9" x14ac:dyDescent="0.25">
      <c r="A40" t="s">
        <v>227</v>
      </c>
      <c r="B40" t="s">
        <v>228</v>
      </c>
      <c r="E40" s="118"/>
      <c r="F40">
        <v>3931301</v>
      </c>
      <c r="G40">
        <v>2</v>
      </c>
    </row>
    <row r="41" spans="1:9" x14ac:dyDescent="0.25">
      <c r="A41" t="s">
        <v>183</v>
      </c>
      <c r="B41" t="s">
        <v>233</v>
      </c>
      <c r="E41" s="118"/>
      <c r="F41">
        <v>8943209</v>
      </c>
      <c r="G41">
        <v>19</v>
      </c>
    </row>
    <row r="42" spans="1:9" x14ac:dyDescent="0.25">
      <c r="A42" t="s">
        <v>239</v>
      </c>
      <c r="B42" t="s">
        <v>240</v>
      </c>
      <c r="D42" s="114" t="s">
        <v>381</v>
      </c>
      <c r="E42" s="118">
        <v>45920</v>
      </c>
      <c r="F42">
        <v>8911101</v>
      </c>
      <c r="G42">
        <v>12</v>
      </c>
      <c r="I42" t="str">
        <f t="shared" ref="I42:I43" si="3">"('"&amp;D42&amp;"', '"&amp;TEXT(E42,"AAAA-MM-DD")&amp;"', "&amp;G42&amp;"),"</f>
        <v>('0306920239907751014466000', '2025-09-20', 12),</v>
      </c>
    </row>
    <row r="43" spans="1:9" x14ac:dyDescent="0.25">
      <c r="A43" t="s">
        <v>220</v>
      </c>
      <c r="B43" t="s">
        <v>244</v>
      </c>
      <c r="D43" s="114" t="s">
        <v>382</v>
      </c>
      <c r="E43" s="118">
        <v>45957</v>
      </c>
      <c r="F43">
        <v>7921303</v>
      </c>
      <c r="G43">
        <v>10</v>
      </c>
      <c r="I43" t="str">
        <f t="shared" si="3"/>
        <v>('0306920239907751029642000', '2025-10-27', 10),</v>
      </c>
    </row>
    <row r="44" spans="1:9" x14ac:dyDescent="0.25">
      <c r="A44" t="s">
        <v>67</v>
      </c>
      <c r="B44" t="s">
        <v>247</v>
      </c>
      <c r="F44">
        <v>8813201</v>
      </c>
      <c r="G44">
        <v>11</v>
      </c>
    </row>
    <row r="45" spans="1:9" x14ac:dyDescent="0.25">
      <c r="A45" t="s">
        <v>67</v>
      </c>
      <c r="B45" t="s">
        <v>251</v>
      </c>
      <c r="F45">
        <v>8813201</v>
      </c>
      <c r="G45">
        <v>11</v>
      </c>
    </row>
    <row r="46" spans="1:9" x14ac:dyDescent="0.25">
      <c r="A46" t="s">
        <v>220</v>
      </c>
      <c r="B46" t="s">
        <v>256</v>
      </c>
      <c r="F46">
        <v>7921302</v>
      </c>
      <c r="G46">
        <v>9</v>
      </c>
    </row>
    <row r="47" spans="1:9" x14ac:dyDescent="0.25">
      <c r="A47" t="s">
        <v>261</v>
      </c>
      <c r="B47" t="s">
        <v>262</v>
      </c>
      <c r="F47">
        <v>8943209</v>
      </c>
      <c r="G47">
        <v>19</v>
      </c>
    </row>
    <row r="48" spans="1:9" x14ac:dyDescent="0.25">
      <c r="A48" t="s">
        <v>67</v>
      </c>
      <c r="B48" t="s">
        <v>268</v>
      </c>
      <c r="F48">
        <v>8943213</v>
      </c>
      <c r="G48">
        <v>16</v>
      </c>
    </row>
    <row r="49" spans="1:7" x14ac:dyDescent="0.25">
      <c r="A49" t="s">
        <v>67</v>
      </c>
      <c r="B49" t="s">
        <v>272</v>
      </c>
      <c r="F49">
        <v>8943213</v>
      </c>
      <c r="G49">
        <v>16</v>
      </c>
    </row>
    <row r="50" spans="1:7" x14ac:dyDescent="0.25">
      <c r="A50" t="s">
        <v>67</v>
      </c>
      <c r="B50" t="s">
        <v>276</v>
      </c>
      <c r="F50">
        <v>8943208</v>
      </c>
      <c r="G50">
        <v>15</v>
      </c>
    </row>
    <row r="51" spans="1:7" x14ac:dyDescent="0.25">
      <c r="A51" t="s">
        <v>67</v>
      </c>
      <c r="B51" t="s">
        <v>283</v>
      </c>
      <c r="F51">
        <v>8943208</v>
      </c>
      <c r="G51">
        <v>15</v>
      </c>
    </row>
    <row r="52" spans="1:7" x14ac:dyDescent="0.25">
      <c r="A52" t="s">
        <v>67</v>
      </c>
      <c r="B52" t="s">
        <v>289</v>
      </c>
      <c r="F52">
        <v>8813201</v>
      </c>
      <c r="G52">
        <v>11</v>
      </c>
    </row>
    <row r="53" spans="1:7" x14ac:dyDescent="0.25">
      <c r="A53" t="s">
        <v>67</v>
      </c>
      <c r="B53" t="s">
        <v>294</v>
      </c>
      <c r="F53">
        <v>8943213</v>
      </c>
      <c r="G53">
        <v>16</v>
      </c>
    </row>
    <row r="54" spans="1:7" x14ac:dyDescent="0.25">
      <c r="A54" t="s">
        <v>67</v>
      </c>
      <c r="B54" t="s">
        <v>298</v>
      </c>
      <c r="F54">
        <v>8943213</v>
      </c>
      <c r="G54">
        <v>16</v>
      </c>
    </row>
    <row r="55" spans="1:7" x14ac:dyDescent="0.25">
      <c r="A55" t="s">
        <v>67</v>
      </c>
      <c r="B55" t="s">
        <v>301</v>
      </c>
      <c r="F55">
        <v>8943213</v>
      </c>
      <c r="G55">
        <v>16</v>
      </c>
    </row>
    <row r="57" spans="1:7" x14ac:dyDescent="0.25">
      <c r="A57" t="s">
        <v>352</v>
      </c>
      <c r="B57" cm="1">
        <f t="array" ref="B57:B75">_xlfn.SEQUENCE(COUNTA(A57:A75))</f>
        <v>1</v>
      </c>
    </row>
    <row r="58" spans="1:7" x14ac:dyDescent="0.25">
      <c r="A58" t="s">
        <v>355</v>
      </c>
      <c r="B58">
        <v>2</v>
      </c>
    </row>
    <row r="59" spans="1:7" x14ac:dyDescent="0.25">
      <c r="A59" t="s">
        <v>357</v>
      </c>
      <c r="B59">
        <v>3</v>
      </c>
    </row>
    <row r="60" spans="1:7" x14ac:dyDescent="0.25">
      <c r="A60" t="s">
        <v>359</v>
      </c>
      <c r="B60">
        <v>4</v>
      </c>
    </row>
    <row r="61" spans="1:7" x14ac:dyDescent="0.25">
      <c r="A61" t="s">
        <v>361</v>
      </c>
      <c r="B61">
        <v>5</v>
      </c>
    </row>
    <row r="62" spans="1:7" x14ac:dyDescent="0.25">
      <c r="A62" t="s">
        <v>362</v>
      </c>
      <c r="B62">
        <v>6</v>
      </c>
    </row>
    <row r="63" spans="1:7" x14ac:dyDescent="0.25">
      <c r="A63" t="s">
        <v>363</v>
      </c>
      <c r="B63">
        <v>7</v>
      </c>
    </row>
    <row r="64" spans="1:7" x14ac:dyDescent="0.25">
      <c r="A64" t="s">
        <v>365</v>
      </c>
      <c r="B64">
        <v>8</v>
      </c>
    </row>
    <row r="65" spans="1:2" x14ac:dyDescent="0.25">
      <c r="A65" t="s">
        <v>366</v>
      </c>
      <c r="B65">
        <v>9</v>
      </c>
    </row>
    <row r="66" spans="1:2" x14ac:dyDescent="0.25">
      <c r="A66" t="s">
        <v>367</v>
      </c>
      <c r="B66">
        <v>10</v>
      </c>
    </row>
    <row r="67" spans="1:2" x14ac:dyDescent="0.25">
      <c r="A67" t="s">
        <v>369</v>
      </c>
      <c r="B67">
        <v>11</v>
      </c>
    </row>
    <row r="68" spans="1:2" x14ac:dyDescent="0.25">
      <c r="A68" t="s">
        <v>371</v>
      </c>
      <c r="B68">
        <v>12</v>
      </c>
    </row>
    <row r="69" spans="1:2" x14ac:dyDescent="0.25">
      <c r="A69" t="s">
        <v>373</v>
      </c>
      <c r="B69">
        <v>13</v>
      </c>
    </row>
    <row r="70" spans="1:2" x14ac:dyDescent="0.25">
      <c r="A70" t="s">
        <v>375</v>
      </c>
      <c r="B70">
        <v>14</v>
      </c>
    </row>
    <row r="71" spans="1:2" x14ac:dyDescent="0.25">
      <c r="A71" t="s">
        <v>377</v>
      </c>
      <c r="B71">
        <v>15</v>
      </c>
    </row>
    <row r="72" spans="1:2" x14ac:dyDescent="0.25">
      <c r="A72" t="s">
        <v>379</v>
      </c>
      <c r="B72">
        <v>16</v>
      </c>
    </row>
    <row r="73" spans="1:2" x14ac:dyDescent="0.25">
      <c r="A73" t="s">
        <v>380</v>
      </c>
      <c r="B73">
        <v>17</v>
      </c>
    </row>
    <row r="74" spans="1:2" x14ac:dyDescent="0.25">
      <c r="A74" t="s">
        <v>381</v>
      </c>
      <c r="B74">
        <v>18</v>
      </c>
    </row>
    <row r="75" spans="1:2" x14ac:dyDescent="0.25">
      <c r="A75" t="s">
        <v>382</v>
      </c>
      <c r="B75">
        <v>19</v>
      </c>
    </row>
  </sheetData>
  <conditionalFormatting sqref="A2:G55">
    <cfRule type="expression" dxfId="0" priority="1">
      <formula>$D2&lt;&gt;""</formula>
    </cfRule>
  </conditionalFormatting>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52FC-E5AB-4CFD-A8C3-D9951534FBFC}">
  <sheetPr>
    <tabColor theme="4"/>
  </sheetPr>
  <dimension ref="A1:J56"/>
  <sheetViews>
    <sheetView topLeftCell="A31" workbookViewId="0">
      <selection activeCell="A2" sqref="A2"/>
    </sheetView>
  </sheetViews>
  <sheetFormatPr defaultRowHeight="15" x14ac:dyDescent="0.25"/>
  <cols>
    <col min="2" max="2" width="16.85546875" bestFit="1" customWidth="1"/>
    <col min="3" max="3" width="14.5703125" bestFit="1" customWidth="1"/>
    <col min="4" max="4" width="76" bestFit="1" customWidth="1"/>
    <col min="5" max="5" width="12.42578125" bestFit="1" customWidth="1"/>
    <col min="6" max="6" width="14.85546875" bestFit="1" customWidth="1"/>
    <col min="7" max="7" width="11.85546875" bestFit="1" customWidth="1"/>
    <col min="8" max="8" width="15" style="116" bestFit="1" customWidth="1"/>
    <col min="9" max="9" width="26.42578125" bestFit="1" customWidth="1"/>
  </cols>
  <sheetData>
    <row r="1" spans="1:10" x14ac:dyDescent="0.25">
      <c r="D1" t="s">
        <v>391</v>
      </c>
      <c r="E1" t="s">
        <v>383</v>
      </c>
      <c r="F1" t="s">
        <v>384</v>
      </c>
      <c r="G1" t="s">
        <v>385</v>
      </c>
      <c r="H1" t="s">
        <v>399</v>
      </c>
      <c r="I1" t="s">
        <v>397</v>
      </c>
    </row>
    <row r="2" spans="1:10" x14ac:dyDescent="0.25">
      <c r="A2" cm="1">
        <f t="array" ref="A2:A56">_xlfn.SEQUENCE(COUNTA(D2:D56))</f>
        <v>1</v>
      </c>
      <c r="B2" t="s">
        <v>19</v>
      </c>
      <c r="C2" t="s">
        <v>20</v>
      </c>
      <c r="D2" t="s">
        <v>386</v>
      </c>
      <c r="E2" t="s">
        <v>387</v>
      </c>
      <c r="F2" s="115">
        <v>45467</v>
      </c>
      <c r="G2" s="115">
        <v>45624</v>
      </c>
      <c r="H2" s="119">
        <v>3</v>
      </c>
      <c r="J2" t="str">
        <f>"('"&amp;D2&amp;"', '"&amp;E2&amp;"', '"&amp;TEXT(F2,"AAAA-MM-DD")&amp;"', '"&amp;TEXT(G2,"AAA-MM-DD")&amp;"', "&amp;H2&amp;"),"</f>
        <v>('3º Aditivo ao Contrato de Locaçao', 'Aluguel', '2024-06-24', '2024-11-28', 3),</v>
      </c>
    </row>
    <row r="3" spans="1:10" x14ac:dyDescent="0.25">
      <c r="A3">
        <v>2</v>
      </c>
      <c r="D3" t="s">
        <v>386</v>
      </c>
      <c r="E3" t="s">
        <v>387</v>
      </c>
      <c r="F3" s="115">
        <v>45463</v>
      </c>
      <c r="G3" s="115">
        <v>45624</v>
      </c>
      <c r="H3" s="119"/>
      <c r="J3" t="str">
        <f t="shared" ref="J3:J56" si="0">"('"&amp;D3&amp;"', '"&amp;E3&amp;"', '"&amp;TEXT(F3,"AAAA-MM-DD")&amp;"', '"&amp;TEXT(G3,"AAA-MM-DD")&amp;"', "&amp;H3&amp;"),"</f>
        <v>('3º Aditivo ao Contrato de Locaçao', 'Aluguel', '2024-06-20', '2024-11-28', ),</v>
      </c>
    </row>
    <row r="4" spans="1:10" x14ac:dyDescent="0.25">
      <c r="A4">
        <v>3</v>
      </c>
      <c r="B4" t="s">
        <v>19</v>
      </c>
      <c r="C4" t="s">
        <v>27</v>
      </c>
      <c r="D4" t="s">
        <v>388</v>
      </c>
      <c r="E4" t="s">
        <v>389</v>
      </c>
      <c r="F4" s="115">
        <v>45587</v>
      </c>
      <c r="G4" s="115">
        <v>45629</v>
      </c>
      <c r="H4" s="119">
        <v>3</v>
      </c>
      <c r="J4" t="str">
        <f t="shared" si="0"/>
        <v>('3º Aditivo ao Contrato de Comodato', 'Comodato', '2024-10-22', '2024-12-03', 3),</v>
      </c>
    </row>
    <row r="5" spans="1:10" x14ac:dyDescent="0.25">
      <c r="A5">
        <v>4</v>
      </c>
      <c r="B5" t="s">
        <v>19</v>
      </c>
      <c r="C5" t="s">
        <v>34</v>
      </c>
      <c r="D5" t="s">
        <v>390</v>
      </c>
      <c r="E5" t="s">
        <v>387</v>
      </c>
      <c r="F5" s="115">
        <v>45589</v>
      </c>
      <c r="G5" s="115">
        <v>45638</v>
      </c>
      <c r="H5" s="119">
        <v>4</v>
      </c>
      <c r="J5" t="str">
        <f t="shared" si="0"/>
        <v>('4º Aditivo ao Contrato de Locaçao', 'Aluguel', '2024-10-24', '2024-12-12', 4),</v>
      </c>
    </row>
    <row r="6" spans="1:10" x14ac:dyDescent="0.25">
      <c r="A6">
        <v>5</v>
      </c>
      <c r="B6" t="s">
        <v>19</v>
      </c>
      <c r="C6" t="s">
        <v>38</v>
      </c>
      <c r="D6" t="s">
        <v>386</v>
      </c>
      <c r="E6" t="s">
        <v>387</v>
      </c>
      <c r="F6" s="115">
        <v>45608</v>
      </c>
      <c r="G6" s="115">
        <v>45646</v>
      </c>
      <c r="H6" s="119">
        <v>3</v>
      </c>
      <c r="J6" t="str">
        <f t="shared" si="0"/>
        <v>('3º Aditivo ao Contrato de Locaçao', 'Aluguel', '2024-11-12', '2024-12-20', 3),</v>
      </c>
    </row>
    <row r="7" spans="1:10" x14ac:dyDescent="0.25">
      <c r="A7">
        <v>6</v>
      </c>
      <c r="B7" t="s">
        <v>45</v>
      </c>
      <c r="C7" t="s">
        <v>46</v>
      </c>
      <c r="D7" t="s">
        <v>427</v>
      </c>
      <c r="E7" t="s">
        <v>396</v>
      </c>
      <c r="F7" s="115">
        <v>45426</v>
      </c>
      <c r="G7" s="115">
        <v>45657</v>
      </c>
      <c r="H7" s="119"/>
      <c r="J7" t="str">
        <f t="shared" si="0"/>
        <v>('Contrato de Afretamento por Tempo para Embarcações de Apoio Offshore', 'Afretamento', '2024-05-14', '2024-12-31', ),</v>
      </c>
    </row>
    <row r="8" spans="1:10" x14ac:dyDescent="0.25">
      <c r="A8">
        <v>7</v>
      </c>
      <c r="B8" t="s">
        <v>19</v>
      </c>
      <c r="C8" t="s">
        <v>53</v>
      </c>
      <c r="D8" t="s">
        <v>392</v>
      </c>
      <c r="E8" t="s">
        <v>387</v>
      </c>
      <c r="F8" s="115">
        <v>45638</v>
      </c>
      <c r="G8" s="115">
        <v>45678</v>
      </c>
      <c r="H8" s="119">
        <v>9</v>
      </c>
      <c r="J8" t="str">
        <f t="shared" si="0"/>
        <v>('9º Aditivo ao Contrato de Locaçao', 'Aluguel', '2024-12-12', '2025-01-21', 9),</v>
      </c>
    </row>
    <row r="9" spans="1:10" x14ac:dyDescent="0.25">
      <c r="A9">
        <v>8</v>
      </c>
      <c r="B9" t="s">
        <v>60</v>
      </c>
      <c r="C9" t="s">
        <v>61</v>
      </c>
      <c r="D9" t="s">
        <v>393</v>
      </c>
      <c r="E9" t="s">
        <v>394</v>
      </c>
      <c r="G9" s="115">
        <v>45679</v>
      </c>
      <c r="H9" s="119">
        <v>2</v>
      </c>
      <c r="J9" t="str">
        <f t="shared" si="0"/>
        <v>('Relatório Técnico de Envio de motor em Garantia para Collin', 'Reparo', '1900-01-00', '2025-01-22', 2),</v>
      </c>
    </row>
    <row r="10" spans="1:10" x14ac:dyDescent="0.25">
      <c r="A10">
        <v>9</v>
      </c>
      <c r="B10" t="s">
        <v>67</v>
      </c>
      <c r="C10" t="s">
        <v>68</v>
      </c>
      <c r="D10" t="s">
        <v>428</v>
      </c>
      <c r="E10" t="s">
        <v>387</v>
      </c>
      <c r="F10" s="115">
        <v>44165</v>
      </c>
      <c r="G10" s="115">
        <v>45692</v>
      </c>
      <c r="H10" s="119"/>
      <c r="J10" t="str">
        <f t="shared" si="0"/>
        <v>('Instrumento Particular de Contrato de Locaçao de Equipamentos nº DH-MEGA17', 'Aluguel', '2020-11-30', '2025-02-04', ),</v>
      </c>
    </row>
    <row r="11" spans="1:10" x14ac:dyDescent="0.25">
      <c r="A11">
        <v>10</v>
      </c>
      <c r="B11" t="s">
        <v>45</v>
      </c>
      <c r="C11" t="s">
        <v>74</v>
      </c>
      <c r="D11" t="s">
        <v>395</v>
      </c>
      <c r="E11" t="s">
        <v>396</v>
      </c>
      <c r="F11" s="115">
        <v>45572</v>
      </c>
      <c r="G11" s="115">
        <v>45706</v>
      </c>
      <c r="H11" s="119"/>
      <c r="J11" t="str">
        <f t="shared" si="0"/>
        <v>('Primeiro Aditamento de Contrato nº 01 de Afretamento de Draga a Casco Nu', 'Afretamento', '2024-10-07', '2025-02-18', ),</v>
      </c>
    </row>
    <row r="12" spans="1:10" x14ac:dyDescent="0.25">
      <c r="A12">
        <v>11</v>
      </c>
      <c r="B12" t="s">
        <v>80</v>
      </c>
      <c r="C12" t="s">
        <v>81</v>
      </c>
      <c r="D12" t="s">
        <v>398</v>
      </c>
      <c r="E12" t="s">
        <v>387</v>
      </c>
      <c r="F12" s="115">
        <v>45611</v>
      </c>
      <c r="G12" s="115">
        <v>45725</v>
      </c>
      <c r="H12" s="119"/>
      <c r="J12" t="str">
        <f t="shared" si="0"/>
        <v>('5º Termo Aditivo ao Contrato Nº BPCRC-014-2022-PRD', 'Aluguel', '2024-11-15', '2025-03-09', ),</v>
      </c>
    </row>
    <row r="13" spans="1:10" x14ac:dyDescent="0.25">
      <c r="A13">
        <v>12</v>
      </c>
      <c r="B13" t="s">
        <v>80</v>
      </c>
      <c r="C13" t="s">
        <v>85</v>
      </c>
      <c r="D13" t="s">
        <v>398</v>
      </c>
      <c r="E13" t="s">
        <v>387</v>
      </c>
      <c r="F13" s="115">
        <v>45611</v>
      </c>
      <c r="G13" s="115">
        <v>45725</v>
      </c>
      <c r="H13" s="119"/>
      <c r="J13" t="str">
        <f t="shared" si="0"/>
        <v>('5º Termo Aditivo ao Contrato Nº BPCRC-014-2022-PRD', 'Aluguel', '2024-11-15', '2025-03-09', ),</v>
      </c>
    </row>
    <row r="14" spans="1:10" x14ac:dyDescent="0.25">
      <c r="A14">
        <v>13</v>
      </c>
      <c r="B14" t="s">
        <v>19</v>
      </c>
      <c r="C14" t="s">
        <v>89</v>
      </c>
      <c r="D14" t="s">
        <v>392</v>
      </c>
      <c r="E14" t="s">
        <v>387</v>
      </c>
      <c r="F14" s="115">
        <v>45646</v>
      </c>
      <c r="G14" s="115">
        <v>45742</v>
      </c>
      <c r="H14" s="119">
        <v>9</v>
      </c>
      <c r="J14" t="str">
        <f t="shared" si="0"/>
        <v>('9º Aditivo ao Contrato de Locaçao', 'Aluguel', '2024-12-20', '2025-03-26', 9),</v>
      </c>
    </row>
    <row r="15" spans="1:10" x14ac:dyDescent="0.25">
      <c r="A15">
        <v>14</v>
      </c>
      <c r="B15" t="s">
        <v>19</v>
      </c>
      <c r="C15" t="s">
        <v>95</v>
      </c>
      <c r="D15" t="s">
        <v>400</v>
      </c>
      <c r="E15" t="s">
        <v>387</v>
      </c>
      <c r="F15" s="115">
        <v>45623</v>
      </c>
      <c r="G15" s="115">
        <v>45746</v>
      </c>
      <c r="H15" s="119">
        <v>5</v>
      </c>
      <c r="J15" t="str">
        <f t="shared" si="0"/>
        <v>('5º Aditivo ao Contrato de Locaçao', 'Aluguel', '2024-11-27', '2025-03-30', 5),</v>
      </c>
    </row>
    <row r="16" spans="1:10" x14ac:dyDescent="0.25">
      <c r="A16">
        <v>15</v>
      </c>
      <c r="B16" t="s">
        <v>19</v>
      </c>
      <c r="C16" t="s">
        <v>101</v>
      </c>
      <c r="D16" t="s">
        <v>400</v>
      </c>
      <c r="E16" t="s">
        <v>387</v>
      </c>
      <c r="F16" s="115">
        <v>45624</v>
      </c>
      <c r="G16" s="115">
        <v>45750</v>
      </c>
      <c r="H16" s="119">
        <v>5</v>
      </c>
      <c r="J16" t="str">
        <f t="shared" si="0"/>
        <v>('5º Aditivo ao Contrato de Locaçao', 'Aluguel', '2024-11-28', '2025-04-03', 5),</v>
      </c>
    </row>
    <row r="17" spans="1:10" x14ac:dyDescent="0.25">
      <c r="A17">
        <v>16</v>
      </c>
      <c r="B17" t="s">
        <v>19</v>
      </c>
      <c r="C17" t="s">
        <v>105</v>
      </c>
      <c r="D17" t="s">
        <v>400</v>
      </c>
      <c r="E17" t="s">
        <v>387</v>
      </c>
      <c r="F17" s="115">
        <v>45630</v>
      </c>
      <c r="G17" s="115">
        <v>45759</v>
      </c>
      <c r="H17" s="119">
        <v>5</v>
      </c>
      <c r="J17" t="str">
        <f t="shared" si="0"/>
        <v>('5º Aditivo ao Contrato de Locaçao', 'Aluguel', '2024-12-04', '2025-04-12', 5),</v>
      </c>
    </row>
    <row r="18" spans="1:10" x14ac:dyDescent="0.25">
      <c r="A18">
        <v>17</v>
      </c>
      <c r="B18" t="s">
        <v>19</v>
      </c>
      <c r="C18" t="s">
        <v>111</v>
      </c>
      <c r="D18" t="s">
        <v>400</v>
      </c>
      <c r="E18" t="s">
        <v>387</v>
      </c>
      <c r="F18" s="115">
        <v>45635</v>
      </c>
      <c r="G18" s="115">
        <v>45766</v>
      </c>
      <c r="H18" s="119">
        <v>5</v>
      </c>
      <c r="J18" t="str">
        <f t="shared" si="0"/>
        <v>('5º Aditivo ao Contrato de Locaçao', 'Aluguel', '2024-12-09', '2025-04-19', 5),</v>
      </c>
    </row>
    <row r="19" spans="1:10" x14ac:dyDescent="0.25">
      <c r="A19">
        <v>18</v>
      </c>
      <c r="B19" t="s">
        <v>19</v>
      </c>
      <c r="C19" t="s">
        <v>117</v>
      </c>
      <c r="D19" t="s">
        <v>401</v>
      </c>
      <c r="E19" t="s">
        <v>387</v>
      </c>
      <c r="F19" s="115">
        <v>45635</v>
      </c>
      <c r="G19" s="115">
        <v>45767</v>
      </c>
      <c r="H19" s="119">
        <v>8</v>
      </c>
      <c r="J19" t="str">
        <f t="shared" si="0"/>
        <v>('8º Aditivo ao Contrato de Locaçao', 'Aluguel', '2024-12-09', '2025-04-20', 8),</v>
      </c>
    </row>
    <row r="20" spans="1:10" x14ac:dyDescent="0.25">
      <c r="A20">
        <v>19</v>
      </c>
      <c r="B20" t="s">
        <v>19</v>
      </c>
      <c r="C20" t="s">
        <v>122</v>
      </c>
      <c r="D20" t="s">
        <v>402</v>
      </c>
      <c r="E20" t="s">
        <v>387</v>
      </c>
      <c r="F20" s="115">
        <v>45644</v>
      </c>
      <c r="G20" s="115">
        <v>45770</v>
      </c>
      <c r="H20" s="119">
        <v>18</v>
      </c>
      <c r="J20" t="str">
        <f t="shared" si="0"/>
        <v>('18º Aditivo ao Contrato de Locaçao', 'Aluguel', '2024-12-18', '2025-04-23', 18),</v>
      </c>
    </row>
    <row r="21" spans="1:10" x14ac:dyDescent="0.25">
      <c r="A21">
        <v>20</v>
      </c>
      <c r="B21" t="s">
        <v>19</v>
      </c>
      <c r="C21" t="s">
        <v>127</v>
      </c>
      <c r="D21" t="s">
        <v>403</v>
      </c>
      <c r="E21" t="s">
        <v>387</v>
      </c>
      <c r="F21" s="115">
        <v>45645</v>
      </c>
      <c r="G21" s="115">
        <v>45770</v>
      </c>
      <c r="H21" s="119">
        <v>14</v>
      </c>
      <c r="J21" t="str">
        <f t="shared" si="0"/>
        <v>('14º Aditivo ao Contrato de Locaçao', 'Aluguel', '2024-12-19', '2025-04-23', 14),</v>
      </c>
    </row>
    <row r="22" spans="1:10" x14ac:dyDescent="0.25">
      <c r="A22">
        <v>21</v>
      </c>
      <c r="B22" t="s">
        <v>19</v>
      </c>
      <c r="C22" t="s">
        <v>134</v>
      </c>
      <c r="D22" t="s">
        <v>403</v>
      </c>
      <c r="E22" t="s">
        <v>387</v>
      </c>
      <c r="F22" s="115">
        <v>45638</v>
      </c>
      <c r="G22" s="115">
        <v>45770</v>
      </c>
      <c r="H22" s="119">
        <v>14</v>
      </c>
      <c r="J22" t="str">
        <f t="shared" si="0"/>
        <v>('14º Aditivo ao Contrato de Locaçao', 'Aluguel', '2024-12-12', '2025-04-23', 14),</v>
      </c>
    </row>
    <row r="23" spans="1:10" x14ac:dyDescent="0.25">
      <c r="A23">
        <v>22</v>
      </c>
      <c r="B23" t="s">
        <v>19</v>
      </c>
      <c r="C23" t="s">
        <v>139</v>
      </c>
      <c r="D23" t="s">
        <v>404</v>
      </c>
      <c r="E23" t="s">
        <v>387</v>
      </c>
      <c r="F23" s="115">
        <v>45638</v>
      </c>
      <c r="G23" s="115">
        <v>45770</v>
      </c>
      <c r="H23" s="119">
        <v>8</v>
      </c>
      <c r="J23" t="str">
        <f t="shared" si="0"/>
        <v>('15º Aditivo ao Contrato de Locaçao', 'Aluguel', '2024-12-12', '2025-04-23', 8),</v>
      </c>
    </row>
    <row r="24" spans="1:10" x14ac:dyDescent="0.25">
      <c r="A24">
        <v>23</v>
      </c>
      <c r="B24" t="s">
        <v>19</v>
      </c>
      <c r="C24" t="s">
        <v>144</v>
      </c>
      <c r="D24" t="s">
        <v>388</v>
      </c>
      <c r="E24" t="s">
        <v>389</v>
      </c>
      <c r="F24" s="115">
        <v>45644</v>
      </c>
      <c r="G24" s="115">
        <v>45772</v>
      </c>
      <c r="H24" s="119">
        <v>3</v>
      </c>
      <c r="J24" t="str">
        <f t="shared" si="0"/>
        <v>('3º Aditivo ao Contrato de Comodato', 'Comodato', '2024-12-18', '2025-04-25', 3),</v>
      </c>
    </row>
    <row r="25" spans="1:10" x14ac:dyDescent="0.25">
      <c r="A25">
        <v>24</v>
      </c>
      <c r="B25" t="s">
        <v>19</v>
      </c>
      <c r="C25" t="s">
        <v>149</v>
      </c>
      <c r="D25" t="s">
        <v>400</v>
      </c>
      <c r="E25" t="s">
        <v>387</v>
      </c>
      <c r="F25" s="115">
        <v>45644</v>
      </c>
      <c r="G25" s="115">
        <v>45775</v>
      </c>
      <c r="H25" s="119">
        <v>5</v>
      </c>
      <c r="J25" t="str">
        <f t="shared" si="0"/>
        <v>('5º Aditivo ao Contrato de Locaçao', 'Aluguel', '2024-12-18', '2025-04-28', 5),</v>
      </c>
    </row>
    <row r="26" spans="1:10" x14ac:dyDescent="0.25">
      <c r="A26">
        <v>25</v>
      </c>
      <c r="B26" t="s">
        <v>19</v>
      </c>
      <c r="C26" t="s">
        <v>154</v>
      </c>
      <c r="D26" t="s">
        <v>400</v>
      </c>
      <c r="E26" t="s">
        <v>387</v>
      </c>
      <c r="F26" s="115">
        <v>45644</v>
      </c>
      <c r="G26" s="115">
        <v>45775</v>
      </c>
      <c r="H26" s="119">
        <v>5</v>
      </c>
      <c r="J26" t="str">
        <f t="shared" si="0"/>
        <v>('5º Aditivo ao Contrato de Locaçao', 'Aluguel', '2024-12-18', '2025-04-28', 5),</v>
      </c>
    </row>
    <row r="27" spans="1:10" x14ac:dyDescent="0.25">
      <c r="A27">
        <v>26</v>
      </c>
      <c r="B27" t="s">
        <v>19</v>
      </c>
      <c r="C27" t="s">
        <v>158</v>
      </c>
      <c r="D27" t="s">
        <v>400</v>
      </c>
      <c r="E27" t="s">
        <v>387</v>
      </c>
      <c r="F27" s="115">
        <v>45644</v>
      </c>
      <c r="G27" s="115">
        <v>45775</v>
      </c>
      <c r="H27" s="119">
        <v>5</v>
      </c>
      <c r="J27" t="str">
        <f t="shared" si="0"/>
        <v>('5º Aditivo ao Contrato de Locaçao', 'Aluguel', '2024-12-18', '2025-04-28', 5),</v>
      </c>
    </row>
    <row r="28" spans="1:10" x14ac:dyDescent="0.25">
      <c r="A28">
        <v>27</v>
      </c>
      <c r="B28" t="s">
        <v>19</v>
      </c>
      <c r="C28" t="s">
        <v>162</v>
      </c>
      <c r="D28" t="s">
        <v>400</v>
      </c>
      <c r="E28" t="s">
        <v>387</v>
      </c>
      <c r="F28" s="115">
        <v>45644</v>
      </c>
      <c r="G28" s="115">
        <v>45776</v>
      </c>
      <c r="H28" s="119">
        <v>5</v>
      </c>
      <c r="J28" t="str">
        <f t="shared" si="0"/>
        <v>('5º Aditivo ao Contrato de Locaçao', 'Aluguel', '2024-12-18', '2025-04-29', 5),</v>
      </c>
    </row>
    <row r="29" spans="1:10" x14ac:dyDescent="0.25">
      <c r="A29">
        <v>28</v>
      </c>
      <c r="B29" t="s">
        <v>166</v>
      </c>
      <c r="C29" t="s">
        <v>167</v>
      </c>
      <c r="D29" t="s">
        <v>405</v>
      </c>
      <c r="E29" t="s">
        <v>394</v>
      </c>
      <c r="F29" s="115">
        <v>45379</v>
      </c>
      <c r="G29" s="115">
        <v>45778</v>
      </c>
      <c r="H29" s="119"/>
      <c r="J29" t="str">
        <f t="shared" si="0"/>
        <v>('Laudo de identificaçao de Mercadorias para Exportaçao Temporária', 'Reparo', '2024-03-28', '2025-05-01', ),</v>
      </c>
    </row>
    <row r="30" spans="1:10" x14ac:dyDescent="0.25">
      <c r="A30">
        <v>29</v>
      </c>
      <c r="B30" t="s">
        <v>19</v>
      </c>
      <c r="C30" t="s">
        <v>170</v>
      </c>
      <c r="D30" t="s">
        <v>392</v>
      </c>
      <c r="E30" t="s">
        <v>387</v>
      </c>
      <c r="F30" s="115">
        <v>45620</v>
      </c>
      <c r="G30" s="115">
        <v>45781</v>
      </c>
      <c r="H30" s="119">
        <v>9</v>
      </c>
      <c r="J30" t="str">
        <f t="shared" si="0"/>
        <v>('9º Aditivo ao Contrato de Locaçao', 'Aluguel', '2024-11-24', '2025-05-04', 9),</v>
      </c>
    </row>
    <row r="31" spans="1:10" x14ac:dyDescent="0.25">
      <c r="A31">
        <v>30</v>
      </c>
      <c r="B31" t="s">
        <v>19</v>
      </c>
      <c r="C31" t="s">
        <v>177</v>
      </c>
      <c r="D31" t="s">
        <v>406</v>
      </c>
      <c r="E31" t="s">
        <v>387</v>
      </c>
      <c r="F31" s="115">
        <v>45624</v>
      </c>
      <c r="G31" s="115">
        <v>45783</v>
      </c>
      <c r="H31" s="119">
        <v>12</v>
      </c>
      <c r="J31" t="str">
        <f t="shared" si="0"/>
        <v>('12º Aditivo ao Contrato de Locaçao', 'Aluguel', '2024-11-28', '2025-05-06', 12),</v>
      </c>
    </row>
    <row r="32" spans="1:10" x14ac:dyDescent="0.25">
      <c r="A32">
        <v>31</v>
      </c>
      <c r="B32" t="s">
        <v>183</v>
      </c>
      <c r="C32" t="s">
        <v>184</v>
      </c>
      <c r="D32" t="s">
        <v>407</v>
      </c>
      <c r="E32" t="s">
        <v>389</v>
      </c>
      <c r="F32" s="115">
        <v>45425</v>
      </c>
      <c r="G32" s="115">
        <v>45790</v>
      </c>
      <c r="H32" s="119"/>
      <c r="J32" t="str">
        <f t="shared" si="0"/>
        <v>('Instrumento Particular de Contrato de Comodato', 'Comodato', '2024-05-13', '2025-05-13', ),</v>
      </c>
    </row>
    <row r="33" spans="1:10" x14ac:dyDescent="0.25">
      <c r="A33">
        <v>32</v>
      </c>
      <c r="B33" t="s">
        <v>19</v>
      </c>
      <c r="C33" t="s">
        <v>189</v>
      </c>
      <c r="D33" t="s">
        <v>400</v>
      </c>
      <c r="E33" t="s">
        <v>387</v>
      </c>
      <c r="F33" s="115">
        <v>45603</v>
      </c>
      <c r="G33" s="115">
        <v>45798</v>
      </c>
      <c r="H33" s="119">
        <v>5</v>
      </c>
      <c r="J33" t="str">
        <f t="shared" si="0"/>
        <v>('5º Aditivo ao Contrato de Locaçao', 'Aluguel', '2024-11-07', '2025-05-21', 5),</v>
      </c>
    </row>
    <row r="34" spans="1:10" x14ac:dyDescent="0.25">
      <c r="A34">
        <v>33</v>
      </c>
      <c r="B34" t="s">
        <v>19</v>
      </c>
      <c r="C34" t="s">
        <v>194</v>
      </c>
      <c r="D34" t="s">
        <v>408</v>
      </c>
      <c r="E34" t="s">
        <v>389</v>
      </c>
      <c r="F34" s="115">
        <v>45623</v>
      </c>
      <c r="G34" s="115">
        <v>45806</v>
      </c>
      <c r="H34" s="119">
        <v>4</v>
      </c>
      <c r="J34" t="str">
        <f t="shared" si="0"/>
        <v>('4º Aditivo ao Contrato de Comodato', 'Comodato', '2024-11-27', '2025-05-29', 4),</v>
      </c>
    </row>
    <row r="35" spans="1:10" x14ac:dyDescent="0.25">
      <c r="A35">
        <v>34</v>
      </c>
      <c r="B35" t="s">
        <v>19</v>
      </c>
      <c r="C35" t="s">
        <v>198</v>
      </c>
      <c r="D35" t="s">
        <v>409</v>
      </c>
      <c r="E35" t="s">
        <v>389</v>
      </c>
      <c r="F35" s="115">
        <v>45625</v>
      </c>
      <c r="G35" s="115">
        <v>45814</v>
      </c>
      <c r="H35" s="119">
        <v>8</v>
      </c>
      <c r="J35" t="str">
        <f t="shared" si="0"/>
        <v>('8º Aditivo ao Contrato de Comodato', 'Comodato', '2024-11-29', '2025-06-06', 8),</v>
      </c>
    </row>
    <row r="36" spans="1:10" x14ac:dyDescent="0.25">
      <c r="A36">
        <v>35</v>
      </c>
      <c r="B36" t="s">
        <v>19</v>
      </c>
      <c r="C36" t="s">
        <v>202</v>
      </c>
      <c r="D36" t="s">
        <v>409</v>
      </c>
      <c r="E36" t="s">
        <v>389</v>
      </c>
      <c r="F36" s="115">
        <v>45630</v>
      </c>
      <c r="G36" s="115">
        <v>45819</v>
      </c>
      <c r="H36" s="119">
        <v>8</v>
      </c>
      <c r="J36" t="str">
        <f t="shared" si="0"/>
        <v>('8º Aditivo ao Contrato de Comodato', 'Comodato', '2024-12-04', '2025-06-11', 8),</v>
      </c>
    </row>
    <row r="37" spans="1:10" x14ac:dyDescent="0.25">
      <c r="A37">
        <v>36</v>
      </c>
      <c r="B37" t="s">
        <v>19</v>
      </c>
      <c r="C37" t="s">
        <v>207</v>
      </c>
      <c r="D37" t="s">
        <v>410</v>
      </c>
      <c r="E37" t="s">
        <v>387</v>
      </c>
      <c r="F37" s="115">
        <v>45635</v>
      </c>
      <c r="G37" s="115">
        <v>45829</v>
      </c>
      <c r="H37" s="119">
        <v>6</v>
      </c>
      <c r="J37" t="str">
        <f t="shared" si="0"/>
        <v>('6º Aditivo ao Contrato de Locaçao', 'Aluguel', '2024-12-09', '2025-06-21', 6),</v>
      </c>
    </row>
    <row r="38" spans="1:10" x14ac:dyDescent="0.25">
      <c r="A38">
        <v>37</v>
      </c>
      <c r="B38" t="s">
        <v>19</v>
      </c>
      <c r="C38" t="s">
        <v>210</v>
      </c>
      <c r="D38" t="s">
        <v>400</v>
      </c>
      <c r="E38" t="s">
        <v>387</v>
      </c>
      <c r="F38" s="115">
        <v>45638</v>
      </c>
      <c r="G38" s="115">
        <v>45830</v>
      </c>
      <c r="H38" s="119">
        <v>5</v>
      </c>
      <c r="J38" t="str">
        <f t="shared" si="0"/>
        <v>('5º Aditivo ao Contrato de Locaçao', 'Aluguel', '2024-12-12', '2025-06-22', 5),</v>
      </c>
    </row>
    <row r="39" spans="1:10" x14ac:dyDescent="0.25">
      <c r="A39">
        <v>38</v>
      </c>
      <c r="B39" t="s">
        <v>45</v>
      </c>
      <c r="C39" t="s">
        <v>214</v>
      </c>
      <c r="D39" t="s">
        <v>411</v>
      </c>
      <c r="E39" t="s">
        <v>396</v>
      </c>
      <c r="F39" s="115">
        <v>45553</v>
      </c>
      <c r="G39" s="115">
        <v>45849</v>
      </c>
      <c r="H39" s="119"/>
      <c r="J39" t="str">
        <f t="shared" si="0"/>
        <v>('Contrato de Fretamento por Período Embarcações de Apoio Marítimo', 'Afretamento', '2024-09-18', '2025-07-11', ),</v>
      </c>
    </row>
    <row r="40" spans="1:10" x14ac:dyDescent="0.25">
      <c r="A40">
        <v>39</v>
      </c>
      <c r="B40" t="s">
        <v>220</v>
      </c>
      <c r="C40" t="s">
        <v>221</v>
      </c>
      <c r="D40" t="s">
        <v>417</v>
      </c>
      <c r="E40" t="s">
        <v>387</v>
      </c>
      <c r="F40" s="115">
        <v>45481</v>
      </c>
      <c r="G40" s="115">
        <v>45890</v>
      </c>
      <c r="H40" s="119">
        <v>1</v>
      </c>
      <c r="J40" t="str">
        <f t="shared" si="0"/>
        <v>('Lease Agreement (Bare Rental) Addedum 2022208', 'Aluguel', '2024-07-08', '2025-08-21', 1),</v>
      </c>
    </row>
    <row r="41" spans="1:10" x14ac:dyDescent="0.25">
      <c r="A41">
        <v>40</v>
      </c>
      <c r="B41" t="s">
        <v>227</v>
      </c>
      <c r="C41" t="s">
        <v>228</v>
      </c>
      <c r="D41" t="s">
        <v>8</v>
      </c>
      <c r="E41" t="s">
        <v>418</v>
      </c>
      <c r="F41" s="115">
        <v>45226</v>
      </c>
      <c r="G41" s="115">
        <v>45901</v>
      </c>
      <c r="H41" s="119"/>
      <c r="J41" t="str">
        <f t="shared" si="0"/>
        <v>('Contrato', 'Emprestimo', '2023-10-27', '2025-09-01', ),</v>
      </c>
    </row>
    <row r="42" spans="1:10" x14ac:dyDescent="0.25">
      <c r="A42">
        <v>41</v>
      </c>
      <c r="B42" t="s">
        <v>183</v>
      </c>
      <c r="C42" t="s">
        <v>233</v>
      </c>
      <c r="D42" t="s">
        <v>407</v>
      </c>
      <c r="E42" t="s">
        <v>389</v>
      </c>
      <c r="F42" s="115">
        <v>45546</v>
      </c>
      <c r="G42" s="115">
        <v>45911</v>
      </c>
      <c r="H42" s="119"/>
      <c r="J42" t="str">
        <f t="shared" si="0"/>
        <v>('Instrumento Particular de Contrato de Comodato', 'Comodato', '2024-09-11', '2025-09-11', ),</v>
      </c>
    </row>
    <row r="43" spans="1:10" x14ac:dyDescent="0.25">
      <c r="A43">
        <v>42</v>
      </c>
      <c r="B43" t="s">
        <v>239</v>
      </c>
      <c r="C43" t="s">
        <v>240</v>
      </c>
      <c r="D43" t="s">
        <v>413</v>
      </c>
      <c r="E43" t="s">
        <v>389</v>
      </c>
      <c r="F43" s="115">
        <v>45530</v>
      </c>
      <c r="G43" s="115">
        <v>45920</v>
      </c>
      <c r="H43" s="119">
        <v>1</v>
      </c>
      <c r="J43" t="str">
        <f t="shared" si="0"/>
        <v>('Primeiro Aditivo Contratual', 'Comodato', '2024-08-26', '2025-09-20', 1),</v>
      </c>
    </row>
    <row r="44" spans="1:10" x14ac:dyDescent="0.25">
      <c r="A44">
        <v>43</v>
      </c>
      <c r="B44" t="s">
        <v>220</v>
      </c>
      <c r="C44" t="s">
        <v>244</v>
      </c>
      <c r="D44" t="s">
        <v>414</v>
      </c>
      <c r="E44" t="s">
        <v>387</v>
      </c>
      <c r="G44" s="115">
        <v>45951</v>
      </c>
      <c r="H44" s="119">
        <v>1</v>
      </c>
      <c r="J44" t="str">
        <f t="shared" si="0"/>
        <v>('Lease Agreement (Bare Rental) Addedum 2023099-1', 'Aluguel', '1900-01-00', '2025-10-21', 1),</v>
      </c>
    </row>
    <row r="45" spans="1:10" x14ac:dyDescent="0.25">
      <c r="A45">
        <v>44</v>
      </c>
      <c r="B45" t="s">
        <v>67</v>
      </c>
      <c r="C45" t="s">
        <v>247</v>
      </c>
      <c r="D45" t="s">
        <v>415</v>
      </c>
      <c r="E45" t="s">
        <v>387</v>
      </c>
      <c r="F45" s="115">
        <v>44384</v>
      </c>
      <c r="G45" s="115">
        <v>45956</v>
      </c>
      <c r="H45" s="119"/>
      <c r="J45" t="str">
        <f t="shared" si="0"/>
        <v>('Instrumento Particular de Contrato de Locaçao de Equipamentos nº DH-MEGA18', 'Aluguel', '2021-07-07', '2025-10-26', ),</v>
      </c>
    </row>
    <row r="46" spans="1:10" x14ac:dyDescent="0.25">
      <c r="A46">
        <v>45</v>
      </c>
      <c r="B46" t="s">
        <v>67</v>
      </c>
      <c r="C46" t="s">
        <v>251</v>
      </c>
      <c r="D46" t="s">
        <v>416</v>
      </c>
      <c r="E46" t="s">
        <v>387</v>
      </c>
      <c r="F46" s="115">
        <v>44572</v>
      </c>
      <c r="G46" s="115">
        <v>46062</v>
      </c>
      <c r="H46" s="119">
        <v>1</v>
      </c>
      <c r="J46" t="str">
        <f t="shared" si="0"/>
        <v>('1º Termo Aditivo ao Instrumento Particular de Contrato de Locaçao de Equipamentos nº DH-MEGA15', 'Aluguel', '2022-01-11', '2026-02-09', 1),</v>
      </c>
    </row>
    <row r="47" spans="1:10" x14ac:dyDescent="0.25">
      <c r="A47">
        <v>46</v>
      </c>
      <c r="B47" t="s">
        <v>220</v>
      </c>
      <c r="C47" t="s">
        <v>256</v>
      </c>
      <c r="D47" t="s">
        <v>417</v>
      </c>
      <c r="E47" t="s">
        <v>387</v>
      </c>
      <c r="F47" s="115">
        <v>45481</v>
      </c>
      <c r="G47" s="115">
        <v>46075</v>
      </c>
      <c r="H47" s="119"/>
      <c r="J47" t="str">
        <f t="shared" si="0"/>
        <v>('Lease Agreement (Bare Rental) Addedum 2022208', 'Aluguel', '2024-07-08', '2026-02-22', ),</v>
      </c>
    </row>
    <row r="48" spans="1:10" x14ac:dyDescent="0.25">
      <c r="A48">
        <v>47</v>
      </c>
      <c r="B48" t="s">
        <v>261</v>
      </c>
      <c r="C48" t="s">
        <v>262</v>
      </c>
      <c r="D48" t="s">
        <v>419</v>
      </c>
      <c r="E48" t="s">
        <v>418</v>
      </c>
      <c r="F48" s="115">
        <v>45362</v>
      </c>
      <c r="G48" s="115">
        <v>46091</v>
      </c>
      <c r="H48" s="119"/>
      <c r="J48" t="str">
        <f t="shared" si="0"/>
        <v>('Contrato de Emprestimo Agency Agreement', 'Emprestimo', '2024-03-11', '2026-03-10', ),</v>
      </c>
    </row>
    <row r="49" spans="1:10" x14ac:dyDescent="0.25">
      <c r="A49">
        <v>48</v>
      </c>
      <c r="B49" t="s">
        <v>67</v>
      </c>
      <c r="C49" t="s">
        <v>268</v>
      </c>
      <c r="D49" t="s">
        <v>420</v>
      </c>
      <c r="E49" t="s">
        <v>387</v>
      </c>
      <c r="F49" s="115">
        <v>44854</v>
      </c>
      <c r="G49" s="115">
        <v>46384</v>
      </c>
      <c r="H49" s="119"/>
      <c r="J49" t="str">
        <f t="shared" si="0"/>
        <v>('Instrumento Particular de Contrato de Locaçao de Equipamentos nº DH-MEGA20', 'Aluguel', '2022-10-20', '2026-12-28', ),</v>
      </c>
    </row>
    <row r="50" spans="1:10" x14ac:dyDescent="0.25">
      <c r="A50">
        <v>49</v>
      </c>
      <c r="B50" t="s">
        <v>67</v>
      </c>
      <c r="C50" t="s">
        <v>272</v>
      </c>
      <c r="D50" t="s">
        <v>421</v>
      </c>
      <c r="E50" t="s">
        <v>387</v>
      </c>
      <c r="F50" s="115">
        <v>44825</v>
      </c>
      <c r="G50" s="115">
        <v>46388</v>
      </c>
      <c r="H50" s="119"/>
      <c r="J50" t="str">
        <f t="shared" si="0"/>
        <v>('Instrumento Particular de Contrato de Locaçao de Equipamentos nº DH-MEGA19', 'Aluguel', '2022-09-21', '2027-01-01', ),</v>
      </c>
    </row>
    <row r="51" spans="1:10" x14ac:dyDescent="0.25">
      <c r="A51">
        <v>50</v>
      </c>
      <c r="B51" t="s">
        <v>67</v>
      </c>
      <c r="C51" t="s">
        <v>276</v>
      </c>
      <c r="D51" t="s">
        <v>423</v>
      </c>
      <c r="E51" t="s">
        <v>387</v>
      </c>
      <c r="F51" s="115">
        <v>44988</v>
      </c>
      <c r="G51" s="115">
        <v>46607</v>
      </c>
      <c r="H51" s="119">
        <v>2</v>
      </c>
      <c r="J51" t="str">
        <f t="shared" si="0"/>
        <v>('2º Termo Aditivo ao Instrumento Particular de Contrato de Locaçao de Equipamentos nº DH-MEGA7-19', 'Aluguel', '2023-03-03', '2027-08-08', 2),</v>
      </c>
    </row>
    <row r="52" spans="1:10" x14ac:dyDescent="0.25">
      <c r="A52">
        <v>51</v>
      </c>
      <c r="B52" t="s">
        <v>67</v>
      </c>
      <c r="C52" t="s">
        <v>283</v>
      </c>
      <c r="D52" t="s">
        <v>422</v>
      </c>
      <c r="E52" t="s">
        <v>387</v>
      </c>
      <c r="F52" s="115">
        <v>44988</v>
      </c>
      <c r="G52" s="115">
        <v>46607</v>
      </c>
      <c r="H52" s="119">
        <v>2</v>
      </c>
      <c r="J52" t="str">
        <f t="shared" si="0"/>
        <v>('2º Termo Aditivo ao Instrumento Particular de Contrato de Locaçao de Equipamentos nº DH-MEGA6-19', 'Aluguel', '2023-03-03', '2027-08-08', 2),</v>
      </c>
    </row>
    <row r="53" spans="1:10" x14ac:dyDescent="0.25">
      <c r="A53">
        <v>52</v>
      </c>
      <c r="B53" t="s">
        <v>67</v>
      </c>
      <c r="C53" t="s">
        <v>289</v>
      </c>
      <c r="D53" t="s">
        <v>424</v>
      </c>
      <c r="E53" t="s">
        <v>387</v>
      </c>
      <c r="F53" s="115">
        <v>45201</v>
      </c>
      <c r="G53" s="115">
        <v>46716</v>
      </c>
      <c r="H53" s="119">
        <v>1</v>
      </c>
      <c r="J53" t="str">
        <f t="shared" si="0"/>
        <v>('2º Termo Aditivo ao Instrumento Particular de Contrato de Locaçao de Equipamentos nº DH-MEGA16', 'Aluguel', '2023-10-02', '2027-11-25', 1),</v>
      </c>
    </row>
    <row r="54" spans="1:10" x14ac:dyDescent="0.25">
      <c r="A54">
        <v>53</v>
      </c>
      <c r="B54" t="s">
        <v>67</v>
      </c>
      <c r="C54" t="s">
        <v>294</v>
      </c>
      <c r="D54" t="s">
        <v>425</v>
      </c>
      <c r="E54" t="s">
        <v>387</v>
      </c>
      <c r="F54" s="115">
        <v>45170</v>
      </c>
      <c r="G54" s="115">
        <v>46718</v>
      </c>
      <c r="J54" t="str">
        <f t="shared" si="0"/>
        <v>('Instrumento Particular de Contrato de Locaçao de Equipamentos nº DH-MEGA23', 'Aluguel', '2023-09-01', '2027-11-27', ),</v>
      </c>
    </row>
    <row r="55" spans="1:10" x14ac:dyDescent="0.25">
      <c r="A55">
        <v>54</v>
      </c>
      <c r="B55" t="s">
        <v>67</v>
      </c>
      <c r="C55" t="s">
        <v>298</v>
      </c>
      <c r="D55" t="s">
        <v>412</v>
      </c>
      <c r="E55" t="s">
        <v>387</v>
      </c>
      <c r="F55" s="115">
        <v>45149</v>
      </c>
      <c r="G55" s="115">
        <v>46722</v>
      </c>
      <c r="J55" t="str">
        <f t="shared" si="0"/>
        <v>('Instrumento Particular de Contrato de Locaçao de Equipamentos nº DH-MEGA21-22', 'Aluguel', '2023-08-11', '2027-12-01', ),</v>
      </c>
    </row>
    <row r="56" spans="1:10" x14ac:dyDescent="0.25">
      <c r="A56">
        <v>55</v>
      </c>
      <c r="B56" t="s">
        <v>67</v>
      </c>
      <c r="C56" t="s">
        <v>301</v>
      </c>
      <c r="D56" t="s">
        <v>426</v>
      </c>
      <c r="E56" t="s">
        <v>387</v>
      </c>
      <c r="F56" s="115">
        <v>45383</v>
      </c>
      <c r="G56" s="115">
        <v>46981</v>
      </c>
      <c r="J56" t="str">
        <f t="shared" si="0"/>
        <v>('Instrumento Particular de Contrato de Locaçao de Equipamentos nº DH-MEGA24', 'Aluguel', '2024-04-01', '2028-08-16', ),</v>
      </c>
    </row>
  </sheetData>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5A06-76AD-41DB-87C5-A85B081D4FA4}">
  <sheetPr>
    <tabColor theme="4"/>
  </sheetPr>
  <dimension ref="A1:L31"/>
  <sheetViews>
    <sheetView workbookViewId="0">
      <selection activeCell="A13" sqref="A13"/>
    </sheetView>
  </sheetViews>
  <sheetFormatPr defaultRowHeight="15" x14ac:dyDescent="0.25"/>
  <cols>
    <col min="2" max="2" width="16.140625" bestFit="1" customWidth="1"/>
    <col min="3" max="3" width="17" bestFit="1" customWidth="1"/>
    <col min="4" max="4" width="11" bestFit="1" customWidth="1"/>
    <col min="5" max="5" width="18.5703125" bestFit="1" customWidth="1"/>
    <col min="7" max="7" width="26.7109375" bestFit="1" customWidth="1"/>
    <col min="8" max="8" width="26.7109375" customWidth="1"/>
    <col min="9" max="9" width="15" bestFit="1" customWidth="1"/>
    <col min="10" max="11" width="15" customWidth="1"/>
  </cols>
  <sheetData>
    <row r="1" spans="1:12" x14ac:dyDescent="0.25">
      <c r="B1" t="s">
        <v>468</v>
      </c>
      <c r="C1" t="s">
        <v>469</v>
      </c>
      <c r="D1" t="s">
        <v>470</v>
      </c>
      <c r="E1" t="s">
        <v>471</v>
      </c>
      <c r="F1" t="s">
        <v>472</v>
      </c>
      <c r="G1" t="s">
        <v>473</v>
      </c>
      <c r="I1" t="s">
        <v>474</v>
      </c>
    </row>
    <row r="2" spans="1:12" x14ac:dyDescent="0.25">
      <c r="A2" cm="1">
        <f t="array" ref="A2:A13">_xlfn.SEQUENCE(COUNTA(_xlfn.ANCHORARRAY(B2)))</f>
        <v>1</v>
      </c>
      <c r="B2" s="120" cm="1">
        <f t="array" ref="B2:B13">_xlfn._xlws.SORT(_xlfn.UNIQUE(Main!P3:P56))</f>
        <v>2295964000130</v>
      </c>
      <c r="C2" t="s">
        <v>475</v>
      </c>
      <c r="D2" t="s">
        <v>476</v>
      </c>
      <c r="E2">
        <v>1365</v>
      </c>
      <c r="F2" t="s">
        <v>477</v>
      </c>
      <c r="G2" t="s">
        <v>534</v>
      </c>
      <c r="H2" cm="1">
        <f t="array" ref="H2:H13">_xlfn.XLOOKUP(G2:G13,C15:C31,B15:B31)</f>
        <v>1</v>
      </c>
      <c r="I2" t="s">
        <v>332</v>
      </c>
      <c r="J2" cm="1">
        <f t="array" ref="J2:J13">_xlfn.XLOOKUP(G2:G13,C15:C31,D15:D31)</f>
        <v>25</v>
      </c>
      <c r="K2" t="str">
        <f>"("&amp;J2&amp;"),"</f>
        <v>(25),</v>
      </c>
      <c r="L2" t="str">
        <f t="shared" ref="L2:L13" si="0">"('"&amp;TEXT(B2,"00000000000000")&amp;"', '"&amp;PROPER(C2)&amp;"', '"&amp;PROPER(D2)&amp;"', '"&amp;PROPER(E2)&amp;"', '"&amp;PROPER(F2)&amp;"', '"&amp;PROPER(G2)&amp;"', '"&amp;PROPER(I2)&amp;"'),"</f>
        <v>('02295964000130', 'Megasil Comercio De Produtos Agricolas E Servicos De Colheitas Ltda', 'Rua Dom Jose Carlos Aguirre', '1365', 'Vila Ozorio', 'Itararé', 'São Paulo'),</v>
      </c>
    </row>
    <row r="3" spans="1:12" x14ac:dyDescent="0.25">
      <c r="A3">
        <v>2</v>
      </c>
      <c r="B3" s="120">
        <v>2385674000187</v>
      </c>
      <c r="C3" t="s">
        <v>478</v>
      </c>
      <c r="D3" t="s">
        <v>479</v>
      </c>
      <c r="E3">
        <v>45</v>
      </c>
      <c r="F3" t="s">
        <v>480</v>
      </c>
      <c r="G3" t="s">
        <v>332</v>
      </c>
      <c r="H3">
        <v>2</v>
      </c>
      <c r="I3" t="s">
        <v>332</v>
      </c>
      <c r="J3">
        <v>25</v>
      </c>
      <c r="K3" t="str">
        <f t="shared" ref="K3:K13" si="1">"("&amp;J3&amp;"),"</f>
        <v>(25),</v>
      </c>
      <c r="L3" t="str">
        <f t="shared" si="0"/>
        <v>('02385674000187', 'Dta Engenharia Ltda', 'Rua Jeronimo Da Veiga', '45', 'Jardim Europa', 'São Paulo', 'São Paulo'),</v>
      </c>
    </row>
    <row r="4" spans="1:12" x14ac:dyDescent="0.25">
      <c r="A4">
        <v>3</v>
      </c>
      <c r="B4" s="120">
        <v>5061157000140</v>
      </c>
      <c r="C4" t="s">
        <v>481</v>
      </c>
      <c r="D4" t="s">
        <v>482</v>
      </c>
      <c r="E4">
        <v>65</v>
      </c>
      <c r="F4" t="s">
        <v>483</v>
      </c>
      <c r="G4" t="s">
        <v>484</v>
      </c>
      <c r="H4">
        <v>3</v>
      </c>
      <c r="I4" t="s">
        <v>332</v>
      </c>
      <c r="J4">
        <v>25</v>
      </c>
      <c r="K4" t="str">
        <f t="shared" si="1"/>
        <v>(25),</v>
      </c>
      <c r="L4" t="str">
        <f t="shared" si="0"/>
        <v>('05061157000140', 'Bowline Marine &amp; Cargo Consultants Ltda', 'Rua Xv De Novembro', '65', 'Centro', 'Santos', 'São Paulo'),</v>
      </c>
    </row>
    <row r="5" spans="1:12" x14ac:dyDescent="0.25">
      <c r="A5">
        <v>4</v>
      </c>
      <c r="B5" s="120">
        <v>10567976000102</v>
      </c>
      <c r="C5" t="s">
        <v>485</v>
      </c>
      <c r="D5" t="s">
        <v>492</v>
      </c>
      <c r="E5">
        <v>1000</v>
      </c>
      <c r="F5" t="s">
        <v>486</v>
      </c>
      <c r="G5" t="s">
        <v>487</v>
      </c>
      <c r="H5">
        <v>4</v>
      </c>
      <c r="I5" t="s">
        <v>332</v>
      </c>
      <c r="J5">
        <v>25</v>
      </c>
      <c r="K5" t="str">
        <f t="shared" si="1"/>
        <v>(25),</v>
      </c>
      <c r="L5" t="str">
        <f t="shared" si="0"/>
        <v>('10567976000102', 'Nea - Comercial De Produtos Industriais Ltda', 'Rua Lino Peixoto Amorim', '1000', 'Paineiras', 'Itupeva', 'São Paulo'),</v>
      </c>
    </row>
    <row r="6" spans="1:12" x14ac:dyDescent="0.25">
      <c r="A6">
        <v>5</v>
      </c>
      <c r="B6" s="120">
        <v>11426377000123</v>
      </c>
      <c r="C6" t="s">
        <v>488</v>
      </c>
      <c r="D6" t="s">
        <v>491</v>
      </c>
      <c r="E6">
        <v>519</v>
      </c>
      <c r="F6" t="s">
        <v>489</v>
      </c>
      <c r="G6" t="s">
        <v>332</v>
      </c>
      <c r="H6">
        <v>2</v>
      </c>
      <c r="I6" t="s">
        <v>332</v>
      </c>
      <c r="J6">
        <v>25</v>
      </c>
      <c r="K6" t="str">
        <f t="shared" si="1"/>
        <v>(25),</v>
      </c>
      <c r="L6" t="str">
        <f t="shared" si="0"/>
        <v>('11426377000123', 'Mammoet Brasil Guindastes Ltda.', 'Rua Carlos Lisdegno Carlucci', '519', 'Jardim Peir Peri', 'São Paulo', 'São Paulo'),</v>
      </c>
    </row>
    <row r="7" spans="1:12" x14ac:dyDescent="0.25">
      <c r="A7">
        <v>6</v>
      </c>
      <c r="B7" s="120">
        <v>11426377000638</v>
      </c>
      <c r="C7" t="s">
        <v>488</v>
      </c>
      <c r="D7" t="s">
        <v>490</v>
      </c>
      <c r="E7">
        <v>231</v>
      </c>
      <c r="F7" t="s">
        <v>483</v>
      </c>
      <c r="G7" t="s">
        <v>493</v>
      </c>
      <c r="H7">
        <v>5</v>
      </c>
      <c r="I7" t="s">
        <v>493</v>
      </c>
      <c r="J7">
        <v>19</v>
      </c>
      <c r="K7" t="str">
        <f t="shared" si="1"/>
        <v>(19),</v>
      </c>
      <c r="L7" t="str">
        <f t="shared" si="0"/>
        <v>('11426377000638', 'Mammoet Brasil Guindastes Ltda.', 'Av Presidente Wilson', '231', 'Centro', 'Rio De Janeiro', 'Rio De Janeiro'),</v>
      </c>
    </row>
    <row r="8" spans="1:12" x14ac:dyDescent="0.25">
      <c r="A8">
        <v>7</v>
      </c>
      <c r="B8" s="120">
        <v>15563826000489</v>
      </c>
      <c r="C8" t="s">
        <v>227</v>
      </c>
      <c r="D8" t="s">
        <v>494</v>
      </c>
      <c r="E8" t="s">
        <v>495</v>
      </c>
      <c r="F8" t="s">
        <v>496</v>
      </c>
      <c r="G8" t="s">
        <v>497</v>
      </c>
      <c r="H8">
        <v>6</v>
      </c>
      <c r="I8" t="s">
        <v>498</v>
      </c>
      <c r="J8">
        <v>10</v>
      </c>
      <c r="K8" t="str">
        <f t="shared" si="1"/>
        <v>(10),</v>
      </c>
      <c r="L8" t="str">
        <f t="shared" si="0"/>
        <v>('15563826000489', 'Tse S/A', 'Estrada De Acesso A Br 135', 'Null', 'Zona Industrial', 'Santo Antonio Dos Lopes', 'Maranhão'),</v>
      </c>
    </row>
    <row r="9" spans="1:12" x14ac:dyDescent="0.25">
      <c r="A9">
        <v>8</v>
      </c>
      <c r="B9" s="120">
        <v>23955189000171</v>
      </c>
      <c r="C9" t="s">
        <v>499</v>
      </c>
      <c r="D9" t="s">
        <v>500</v>
      </c>
      <c r="E9">
        <v>415</v>
      </c>
      <c r="F9" t="s">
        <v>501</v>
      </c>
      <c r="G9" t="s">
        <v>332</v>
      </c>
      <c r="H9">
        <v>2</v>
      </c>
      <c r="I9" t="s">
        <v>332</v>
      </c>
      <c r="J9">
        <v>25</v>
      </c>
      <c r="K9" t="str">
        <f t="shared" si="1"/>
        <v>(25),</v>
      </c>
      <c r="L9" t="str">
        <f t="shared" si="0"/>
        <v>('23955189000171', 'Mitsubishi Power South America Limitada', 'Alameda Santo', '415', 'Cerqueira Cesar', 'São Paulo', 'São Paulo'),</v>
      </c>
    </row>
    <row r="10" spans="1:12" x14ac:dyDescent="0.25">
      <c r="A10">
        <v>9</v>
      </c>
      <c r="B10" s="120">
        <v>29884534000290</v>
      </c>
      <c r="C10" t="s">
        <v>502</v>
      </c>
      <c r="D10" t="s">
        <v>503</v>
      </c>
      <c r="E10" t="s">
        <v>495</v>
      </c>
      <c r="F10" t="s">
        <v>504</v>
      </c>
      <c r="G10" t="s">
        <v>505</v>
      </c>
      <c r="H10">
        <v>7</v>
      </c>
      <c r="I10" t="s">
        <v>493</v>
      </c>
      <c r="J10">
        <v>19</v>
      </c>
      <c r="K10" t="str">
        <f t="shared" si="1"/>
        <v>(19),</v>
      </c>
      <c r="L10" t="str">
        <f t="shared" si="0"/>
        <v>('29884534000290', 'Marlim Azul Energia S.A.', 'Rua Dos Garçons', 'Null', 'Horto', 'Macaé', 'Rio De Janeiro'),</v>
      </c>
    </row>
    <row r="11" spans="1:12" x14ac:dyDescent="0.25">
      <c r="A11">
        <v>10</v>
      </c>
      <c r="B11" s="120">
        <v>43053081001334</v>
      </c>
      <c r="C11" t="s">
        <v>506</v>
      </c>
      <c r="D11" t="s">
        <v>507</v>
      </c>
      <c r="E11">
        <v>37</v>
      </c>
      <c r="F11" t="s">
        <v>483</v>
      </c>
      <c r="G11" t="s">
        <v>493</v>
      </c>
      <c r="H11">
        <v>5</v>
      </c>
      <c r="I11" t="s">
        <v>493</v>
      </c>
      <c r="J11">
        <v>19</v>
      </c>
      <c r="K11" t="str">
        <f t="shared" si="1"/>
        <v>(19),</v>
      </c>
      <c r="L11" t="str">
        <f t="shared" si="0"/>
        <v>('43053081001334', 'Transdata Engenharia E Movimentacao Ltda', 'Avenida Rio Branco', '37', 'Centro', 'Rio De Janeiro', 'Rio De Janeiro'),</v>
      </c>
    </row>
    <row r="12" spans="1:12" x14ac:dyDescent="0.25">
      <c r="A12">
        <v>11</v>
      </c>
      <c r="B12" s="120">
        <v>47098918000693</v>
      </c>
      <c r="C12" t="s">
        <v>508</v>
      </c>
      <c r="D12" t="s">
        <v>509</v>
      </c>
      <c r="E12">
        <v>28</v>
      </c>
      <c r="F12" t="s">
        <v>510</v>
      </c>
      <c r="G12" t="s">
        <v>511</v>
      </c>
      <c r="H12">
        <v>8</v>
      </c>
      <c r="I12" t="s">
        <v>332</v>
      </c>
      <c r="J12">
        <v>25</v>
      </c>
      <c r="K12" t="str">
        <f t="shared" si="1"/>
        <v>(25),</v>
      </c>
      <c r="L12" t="str">
        <f t="shared" si="0"/>
        <v>('47098918000693', 'Veolia Water Technologies And Solutions Brasil Tratamento De Aguas Ltda', 'Rua Osasco', '28', 'Parque Industrial Anhanguera', 'Cajamar', 'São Paulo'),</v>
      </c>
    </row>
    <row r="13" spans="1:12" x14ac:dyDescent="0.25">
      <c r="A13">
        <v>12</v>
      </c>
      <c r="B13" s="120">
        <v>51254159000173</v>
      </c>
      <c r="C13" t="s">
        <v>512</v>
      </c>
      <c r="D13" t="s">
        <v>513</v>
      </c>
      <c r="E13">
        <v>788</v>
      </c>
      <c r="F13" t="s">
        <v>514</v>
      </c>
      <c r="G13" t="s">
        <v>515</v>
      </c>
      <c r="H13">
        <v>9</v>
      </c>
      <c r="I13" t="s">
        <v>332</v>
      </c>
      <c r="J13">
        <v>25</v>
      </c>
      <c r="K13" t="str">
        <f t="shared" si="1"/>
        <v>(25),</v>
      </c>
      <c r="L13" t="str">
        <f t="shared" si="0"/>
        <v>('51254159000173', 'Karina Plasticos Ltda', 'Avenida Antranig Guerekmezian', '788', 'Jardim Cumbica', 'Guarulhos', 'São Paulo'),</v>
      </c>
    </row>
    <row r="15" spans="1:12" x14ac:dyDescent="0.25">
      <c r="B15">
        <v>1</v>
      </c>
      <c r="C15" t="s">
        <v>534</v>
      </c>
      <c r="D15">
        <v>25</v>
      </c>
    </row>
    <row r="16" spans="1:12" x14ac:dyDescent="0.25">
      <c r="B16">
        <v>2</v>
      </c>
      <c r="C16" t="s">
        <v>332</v>
      </c>
      <c r="D16">
        <v>25</v>
      </c>
    </row>
    <row r="17" spans="2:4" x14ac:dyDescent="0.25">
      <c r="B17">
        <v>3</v>
      </c>
      <c r="C17" t="s">
        <v>484</v>
      </c>
      <c r="D17">
        <v>25</v>
      </c>
    </row>
    <row r="18" spans="2:4" x14ac:dyDescent="0.25">
      <c r="B18">
        <v>4</v>
      </c>
      <c r="C18" t="s">
        <v>487</v>
      </c>
      <c r="D18">
        <v>25</v>
      </c>
    </row>
    <row r="19" spans="2:4" x14ac:dyDescent="0.25">
      <c r="B19">
        <v>5</v>
      </c>
      <c r="C19" t="s">
        <v>493</v>
      </c>
      <c r="D19">
        <v>19</v>
      </c>
    </row>
    <row r="20" spans="2:4" x14ac:dyDescent="0.25">
      <c r="B20">
        <v>6</v>
      </c>
      <c r="C20" t="s">
        <v>497</v>
      </c>
      <c r="D20">
        <v>10</v>
      </c>
    </row>
    <row r="21" spans="2:4" x14ac:dyDescent="0.25">
      <c r="B21">
        <v>7</v>
      </c>
      <c r="C21" t="s">
        <v>505</v>
      </c>
      <c r="D21">
        <v>19</v>
      </c>
    </row>
    <row r="22" spans="2:4" x14ac:dyDescent="0.25">
      <c r="B22">
        <v>8</v>
      </c>
      <c r="C22" t="s">
        <v>511</v>
      </c>
      <c r="D22">
        <v>25</v>
      </c>
    </row>
    <row r="23" spans="2:4" x14ac:dyDescent="0.25">
      <c r="B23">
        <v>9</v>
      </c>
      <c r="C23" t="s">
        <v>515</v>
      </c>
      <c r="D23">
        <v>25</v>
      </c>
    </row>
    <row r="24" spans="2:4" x14ac:dyDescent="0.25">
      <c r="B24">
        <v>10</v>
      </c>
      <c r="C24" t="s">
        <v>535</v>
      </c>
      <c r="D24">
        <v>4</v>
      </c>
    </row>
    <row r="25" spans="2:4" x14ac:dyDescent="0.25">
      <c r="B25">
        <v>11</v>
      </c>
      <c r="C25" t="s">
        <v>536</v>
      </c>
      <c r="D25">
        <v>6</v>
      </c>
    </row>
    <row r="26" spans="2:4" x14ac:dyDescent="0.25">
      <c r="B26">
        <v>12</v>
      </c>
      <c r="C26" t="s">
        <v>537</v>
      </c>
      <c r="D26">
        <v>10</v>
      </c>
    </row>
    <row r="27" spans="2:4" x14ac:dyDescent="0.25">
      <c r="B27">
        <v>13</v>
      </c>
      <c r="C27" t="s">
        <v>538</v>
      </c>
      <c r="D27">
        <v>17</v>
      </c>
    </row>
    <row r="28" spans="2:4" x14ac:dyDescent="0.25">
      <c r="B28">
        <v>14</v>
      </c>
      <c r="C28" t="s">
        <v>539</v>
      </c>
      <c r="D28">
        <v>5</v>
      </c>
    </row>
    <row r="29" spans="2:4" x14ac:dyDescent="0.25">
      <c r="B29">
        <v>15</v>
      </c>
      <c r="C29" t="s">
        <v>328</v>
      </c>
      <c r="D29">
        <v>19</v>
      </c>
    </row>
    <row r="30" spans="2:4" x14ac:dyDescent="0.25">
      <c r="B30">
        <v>16</v>
      </c>
      <c r="C30" t="s">
        <v>335</v>
      </c>
      <c r="D30">
        <v>25</v>
      </c>
    </row>
    <row r="31" spans="2:4" x14ac:dyDescent="0.25">
      <c r="B31">
        <v>17</v>
      </c>
      <c r="C31" t="s">
        <v>540</v>
      </c>
      <c r="D31">
        <v>16</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763C4-57AA-4F1A-BE76-445210EB5EAE}">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9BD4-353B-4D52-8D21-A92D671CC3A2}">
  <dimension ref="A1:P55"/>
  <sheetViews>
    <sheetView topLeftCell="N1" workbookViewId="0">
      <selection activeCell="O7" sqref="O7"/>
    </sheetView>
  </sheetViews>
  <sheetFormatPr defaultRowHeight="15" x14ac:dyDescent="0.25"/>
  <cols>
    <col min="1" max="1" width="15.42578125" bestFit="1" customWidth="1"/>
    <col min="2" max="2" width="21.28515625" bestFit="1" customWidth="1"/>
    <col min="3" max="3" width="10.140625" bestFit="1" customWidth="1"/>
    <col min="4" max="4" width="20.42578125" bestFit="1" customWidth="1"/>
    <col min="5" max="5" width="27.85546875" bestFit="1" customWidth="1"/>
    <col min="6" max="6" width="25.7109375" bestFit="1" customWidth="1"/>
    <col min="7" max="7" width="30.5703125" bestFit="1" customWidth="1"/>
    <col min="8" max="8" width="7.85546875" bestFit="1" customWidth="1"/>
    <col min="9" max="9" width="12.42578125" bestFit="1" customWidth="1"/>
    <col min="10" max="10" width="17.85546875" bestFit="1" customWidth="1"/>
    <col min="11" max="11" width="33.140625" bestFit="1" customWidth="1"/>
    <col min="12" max="12" width="13.42578125" bestFit="1" customWidth="1"/>
    <col min="13" max="13" width="12.42578125" bestFit="1" customWidth="1"/>
    <col min="14" max="14" width="16.28515625" bestFit="1" customWidth="1"/>
    <col min="15" max="16" width="81.140625" bestFit="1" customWidth="1"/>
  </cols>
  <sheetData>
    <row r="1" spans="1:16" x14ac:dyDescent="0.25">
      <c r="A1" t="s">
        <v>541</v>
      </c>
      <c r="B1" t="s">
        <v>542</v>
      </c>
      <c r="C1" t="s">
        <v>543</v>
      </c>
      <c r="D1" t="s">
        <v>544</v>
      </c>
      <c r="E1" t="s">
        <v>545</v>
      </c>
      <c r="F1" t="s">
        <v>546</v>
      </c>
      <c r="G1" t="s">
        <v>547</v>
      </c>
      <c r="H1" t="s">
        <v>548</v>
      </c>
      <c r="I1" t="s">
        <v>549</v>
      </c>
      <c r="J1" t="s">
        <v>550</v>
      </c>
      <c r="K1" t="s">
        <v>551</v>
      </c>
      <c r="L1" t="s">
        <v>552</v>
      </c>
      <c r="M1" t="s">
        <v>553</v>
      </c>
      <c r="N1" t="s">
        <v>554</v>
      </c>
      <c r="O1" t="s">
        <v>555</v>
      </c>
      <c r="P1" t="s">
        <v>556</v>
      </c>
    </row>
    <row r="2" spans="1:16" x14ac:dyDescent="0.25">
      <c r="A2">
        <v>1</v>
      </c>
      <c r="B2" t="s">
        <v>557</v>
      </c>
      <c r="C2">
        <v>5</v>
      </c>
      <c r="D2" t="s">
        <v>20</v>
      </c>
      <c r="F2" s="122">
        <v>44761</v>
      </c>
      <c r="G2" s="122">
        <v>44769</v>
      </c>
      <c r="H2">
        <v>1</v>
      </c>
      <c r="I2">
        <v>4</v>
      </c>
      <c r="J2" t="s">
        <v>558</v>
      </c>
      <c r="L2">
        <v>1</v>
      </c>
      <c r="N2" t="s">
        <v>529</v>
      </c>
      <c r="O2" t="s">
        <v>559</v>
      </c>
      <c r="P2" t="s">
        <v>560</v>
      </c>
    </row>
    <row r="3" spans="1:16" x14ac:dyDescent="0.25">
      <c r="A3">
        <v>2</v>
      </c>
      <c r="B3" t="s">
        <v>561</v>
      </c>
      <c r="C3">
        <v>5</v>
      </c>
      <c r="D3" t="s">
        <v>27</v>
      </c>
      <c r="E3" t="s">
        <v>28</v>
      </c>
      <c r="F3" s="122">
        <v>45384</v>
      </c>
      <c r="G3" s="122">
        <v>45386</v>
      </c>
      <c r="H3">
        <v>2</v>
      </c>
      <c r="I3">
        <v>3</v>
      </c>
      <c r="J3" t="s">
        <v>562</v>
      </c>
      <c r="L3">
        <v>3</v>
      </c>
      <c r="N3" t="s">
        <v>529</v>
      </c>
      <c r="O3" t="s">
        <v>30</v>
      </c>
      <c r="P3" t="s">
        <v>563</v>
      </c>
    </row>
    <row r="4" spans="1:16" x14ac:dyDescent="0.25">
      <c r="A4">
        <v>3</v>
      </c>
      <c r="B4" t="s">
        <v>564</v>
      </c>
      <c r="C4">
        <v>5</v>
      </c>
      <c r="D4" t="s">
        <v>34</v>
      </c>
      <c r="F4" s="122">
        <v>44783</v>
      </c>
      <c r="G4" s="122">
        <v>44785</v>
      </c>
      <c r="H4">
        <v>3</v>
      </c>
      <c r="I4">
        <v>4</v>
      </c>
      <c r="J4" t="s">
        <v>565</v>
      </c>
      <c r="L4">
        <v>4</v>
      </c>
      <c r="N4" t="s">
        <v>529</v>
      </c>
      <c r="O4" t="s">
        <v>566</v>
      </c>
      <c r="P4" t="s">
        <v>567</v>
      </c>
    </row>
    <row r="5" spans="1:16" x14ac:dyDescent="0.25">
      <c r="A5">
        <v>4</v>
      </c>
      <c r="B5" t="s">
        <v>568</v>
      </c>
      <c r="C5">
        <v>5</v>
      </c>
      <c r="D5" t="s">
        <v>38</v>
      </c>
      <c r="E5" t="s">
        <v>39</v>
      </c>
      <c r="F5" s="122">
        <v>44729</v>
      </c>
      <c r="G5" s="122">
        <v>44741</v>
      </c>
      <c r="H5">
        <v>4</v>
      </c>
      <c r="I5">
        <v>5</v>
      </c>
      <c r="J5" t="s">
        <v>569</v>
      </c>
      <c r="L5">
        <v>1</v>
      </c>
      <c r="M5">
        <v>1</v>
      </c>
      <c r="N5" t="s">
        <v>529</v>
      </c>
      <c r="O5" t="s">
        <v>570</v>
      </c>
      <c r="P5" t="s">
        <v>571</v>
      </c>
    </row>
    <row r="6" spans="1:16" x14ac:dyDescent="0.25">
      <c r="A6">
        <v>5</v>
      </c>
      <c r="B6" t="s">
        <v>572</v>
      </c>
      <c r="C6">
        <v>2</v>
      </c>
      <c r="D6" t="s">
        <v>46</v>
      </c>
      <c r="E6" t="s">
        <v>47</v>
      </c>
      <c r="F6" s="122">
        <v>45439</v>
      </c>
      <c r="G6" s="122">
        <v>45439</v>
      </c>
      <c r="I6">
        <v>8</v>
      </c>
      <c r="J6" t="s">
        <v>573</v>
      </c>
      <c r="L6">
        <v>6</v>
      </c>
      <c r="N6" t="s">
        <v>530</v>
      </c>
      <c r="O6" t="s">
        <v>49</v>
      </c>
      <c r="P6" t="s">
        <v>574</v>
      </c>
    </row>
    <row r="7" spans="1:16" x14ac:dyDescent="0.25">
      <c r="A7">
        <v>6</v>
      </c>
      <c r="B7" t="s">
        <v>575</v>
      </c>
      <c r="C7">
        <v>5</v>
      </c>
      <c r="D7" t="s">
        <v>53</v>
      </c>
      <c r="E7" t="s">
        <v>54</v>
      </c>
      <c r="F7" s="122">
        <v>44364</v>
      </c>
      <c r="G7" s="122">
        <v>44368</v>
      </c>
      <c r="H7">
        <v>5</v>
      </c>
      <c r="I7">
        <v>3</v>
      </c>
      <c r="J7" t="s">
        <v>576</v>
      </c>
      <c r="L7">
        <v>7</v>
      </c>
      <c r="M7">
        <v>2</v>
      </c>
      <c r="N7" t="s">
        <v>529</v>
      </c>
      <c r="O7" t="s">
        <v>577</v>
      </c>
      <c r="P7" t="s">
        <v>578</v>
      </c>
    </row>
    <row r="8" spans="1:16" x14ac:dyDescent="0.25">
      <c r="A8">
        <v>7</v>
      </c>
      <c r="B8" t="s">
        <v>579</v>
      </c>
      <c r="C8">
        <v>12</v>
      </c>
      <c r="D8" t="s">
        <v>61</v>
      </c>
      <c r="E8" t="s">
        <v>62</v>
      </c>
      <c r="F8" s="122">
        <v>45467</v>
      </c>
      <c r="G8" s="122">
        <v>45468</v>
      </c>
      <c r="I8">
        <v>12</v>
      </c>
      <c r="J8" t="s">
        <v>580</v>
      </c>
      <c r="L8">
        <v>8</v>
      </c>
      <c r="N8" t="s">
        <v>531</v>
      </c>
      <c r="O8" t="s">
        <v>64</v>
      </c>
      <c r="P8" t="s">
        <v>581</v>
      </c>
    </row>
    <row r="9" spans="1:16" x14ac:dyDescent="0.25">
      <c r="A9">
        <v>8</v>
      </c>
      <c r="B9" t="s">
        <v>582</v>
      </c>
      <c r="C9">
        <v>1</v>
      </c>
      <c r="D9" t="s">
        <v>68</v>
      </c>
      <c r="E9" t="s">
        <v>583</v>
      </c>
      <c r="F9" s="122">
        <v>44230</v>
      </c>
      <c r="G9" s="122">
        <v>44231</v>
      </c>
      <c r="H9">
        <v>6</v>
      </c>
      <c r="I9">
        <v>11</v>
      </c>
      <c r="J9" t="s">
        <v>584</v>
      </c>
      <c r="L9">
        <v>9</v>
      </c>
      <c r="N9" t="s">
        <v>529</v>
      </c>
      <c r="O9" t="s">
        <v>71</v>
      </c>
      <c r="P9" t="s">
        <v>585</v>
      </c>
    </row>
    <row r="10" spans="1:16" x14ac:dyDescent="0.25">
      <c r="A10">
        <v>9</v>
      </c>
      <c r="B10" t="s">
        <v>586</v>
      </c>
      <c r="C10">
        <v>2</v>
      </c>
      <c r="D10" t="s">
        <v>74</v>
      </c>
      <c r="E10" t="s">
        <v>75</v>
      </c>
      <c r="F10" s="122">
        <v>45457</v>
      </c>
      <c r="G10" s="122">
        <v>45461</v>
      </c>
      <c r="I10">
        <v>1</v>
      </c>
      <c r="J10" t="s">
        <v>587</v>
      </c>
      <c r="L10">
        <v>10</v>
      </c>
      <c r="N10" t="s">
        <v>530</v>
      </c>
      <c r="O10" t="s">
        <v>77</v>
      </c>
      <c r="P10" t="s">
        <v>588</v>
      </c>
    </row>
    <row r="11" spans="1:16" x14ac:dyDescent="0.25">
      <c r="A11">
        <v>10</v>
      </c>
      <c r="B11" t="s">
        <v>589</v>
      </c>
      <c r="C11">
        <v>4</v>
      </c>
      <c r="D11" t="s">
        <v>81</v>
      </c>
      <c r="F11" s="122">
        <v>45349</v>
      </c>
      <c r="G11" s="122">
        <v>45350</v>
      </c>
      <c r="I11">
        <v>13</v>
      </c>
      <c r="J11" t="s">
        <v>590</v>
      </c>
      <c r="L11">
        <v>11</v>
      </c>
      <c r="N11" t="s">
        <v>531</v>
      </c>
      <c r="O11" t="s">
        <v>71</v>
      </c>
      <c r="P11" t="s">
        <v>591</v>
      </c>
    </row>
    <row r="12" spans="1:16" x14ac:dyDescent="0.25">
      <c r="A12">
        <v>11</v>
      </c>
      <c r="B12" t="s">
        <v>592</v>
      </c>
      <c r="C12">
        <v>4</v>
      </c>
      <c r="D12" t="s">
        <v>85</v>
      </c>
      <c r="F12" s="122">
        <v>45296</v>
      </c>
      <c r="G12" s="122">
        <v>45303</v>
      </c>
      <c r="I12">
        <v>13</v>
      </c>
      <c r="J12" t="s">
        <v>593</v>
      </c>
      <c r="L12">
        <v>11</v>
      </c>
      <c r="N12" t="s">
        <v>531</v>
      </c>
      <c r="O12" t="s">
        <v>87</v>
      </c>
      <c r="P12" t="s">
        <v>594</v>
      </c>
    </row>
    <row r="13" spans="1:16" x14ac:dyDescent="0.25">
      <c r="A13">
        <v>12</v>
      </c>
      <c r="B13" t="s">
        <v>595</v>
      </c>
      <c r="C13">
        <v>6</v>
      </c>
      <c r="D13" t="s">
        <v>89</v>
      </c>
      <c r="E13" t="s">
        <v>90</v>
      </c>
      <c r="F13" s="122">
        <v>44279</v>
      </c>
      <c r="G13" s="122">
        <v>44281</v>
      </c>
      <c r="H13">
        <v>7</v>
      </c>
      <c r="I13">
        <v>10</v>
      </c>
      <c r="J13" t="s">
        <v>596</v>
      </c>
      <c r="L13">
        <v>7</v>
      </c>
      <c r="M13">
        <v>3</v>
      </c>
      <c r="N13" t="s">
        <v>529</v>
      </c>
      <c r="O13" t="s">
        <v>597</v>
      </c>
      <c r="P13" t="s">
        <v>598</v>
      </c>
    </row>
    <row r="14" spans="1:16" x14ac:dyDescent="0.25">
      <c r="A14">
        <v>13</v>
      </c>
      <c r="B14" t="s">
        <v>599</v>
      </c>
      <c r="C14">
        <v>5</v>
      </c>
      <c r="D14" t="s">
        <v>95</v>
      </c>
      <c r="E14" t="s">
        <v>96</v>
      </c>
      <c r="F14" s="122">
        <v>45026</v>
      </c>
      <c r="G14" s="122">
        <v>45029</v>
      </c>
      <c r="H14">
        <v>8</v>
      </c>
      <c r="I14">
        <v>9</v>
      </c>
      <c r="J14" t="s">
        <v>600</v>
      </c>
      <c r="L14">
        <v>14</v>
      </c>
      <c r="N14" t="s">
        <v>529</v>
      </c>
      <c r="O14" t="s">
        <v>98</v>
      </c>
      <c r="P14" t="s">
        <v>601</v>
      </c>
    </row>
    <row r="15" spans="1:16" x14ac:dyDescent="0.25">
      <c r="A15">
        <v>14</v>
      </c>
      <c r="B15" t="s">
        <v>602</v>
      </c>
      <c r="C15">
        <v>5</v>
      </c>
      <c r="D15" t="s">
        <v>101</v>
      </c>
      <c r="E15" t="s">
        <v>102</v>
      </c>
      <c r="F15" s="122">
        <v>45044</v>
      </c>
      <c r="G15" s="122">
        <v>45056</v>
      </c>
      <c r="H15">
        <v>9</v>
      </c>
      <c r="I15">
        <v>9</v>
      </c>
      <c r="J15" t="s">
        <v>603</v>
      </c>
      <c r="L15">
        <v>14</v>
      </c>
      <c r="M15">
        <v>4</v>
      </c>
      <c r="N15" t="s">
        <v>529</v>
      </c>
      <c r="O15" t="s">
        <v>604</v>
      </c>
      <c r="P15" t="s">
        <v>605</v>
      </c>
    </row>
    <row r="16" spans="1:16" x14ac:dyDescent="0.25">
      <c r="A16">
        <v>15</v>
      </c>
      <c r="B16" t="s">
        <v>606</v>
      </c>
      <c r="C16">
        <v>5</v>
      </c>
      <c r="D16" t="s">
        <v>105</v>
      </c>
      <c r="E16" t="s">
        <v>106</v>
      </c>
      <c r="F16" s="122">
        <v>44862</v>
      </c>
      <c r="G16" s="122">
        <v>44873</v>
      </c>
      <c r="H16">
        <v>10</v>
      </c>
      <c r="I16">
        <v>17</v>
      </c>
      <c r="J16" t="s">
        <v>607</v>
      </c>
      <c r="L16">
        <v>14</v>
      </c>
      <c r="M16">
        <v>5</v>
      </c>
      <c r="N16" t="s">
        <v>529</v>
      </c>
      <c r="O16" t="s">
        <v>608</v>
      </c>
      <c r="P16" t="s">
        <v>609</v>
      </c>
    </row>
    <row r="17" spans="1:16" x14ac:dyDescent="0.25">
      <c r="A17">
        <v>16</v>
      </c>
      <c r="B17" t="s">
        <v>610</v>
      </c>
      <c r="C17">
        <v>5</v>
      </c>
      <c r="D17" t="s">
        <v>111</v>
      </c>
      <c r="E17" t="s">
        <v>112</v>
      </c>
      <c r="F17" s="122">
        <v>44921</v>
      </c>
      <c r="G17" s="122">
        <v>44945</v>
      </c>
      <c r="H17">
        <v>11</v>
      </c>
      <c r="I17">
        <v>10</v>
      </c>
      <c r="J17" t="s">
        <v>611</v>
      </c>
      <c r="L17">
        <v>14</v>
      </c>
      <c r="M17">
        <v>6</v>
      </c>
      <c r="N17" t="s">
        <v>529</v>
      </c>
      <c r="O17" t="s">
        <v>612</v>
      </c>
      <c r="P17" t="s">
        <v>613</v>
      </c>
    </row>
    <row r="18" spans="1:16" x14ac:dyDescent="0.25">
      <c r="A18">
        <v>17</v>
      </c>
      <c r="B18" t="s">
        <v>614</v>
      </c>
      <c r="C18">
        <v>6</v>
      </c>
      <c r="D18" t="s">
        <v>117</v>
      </c>
      <c r="E18" t="s">
        <v>118</v>
      </c>
      <c r="F18" s="122">
        <v>44456</v>
      </c>
      <c r="G18" s="122">
        <v>44459</v>
      </c>
      <c r="H18">
        <v>12</v>
      </c>
      <c r="I18">
        <v>10</v>
      </c>
      <c r="J18" t="s">
        <v>615</v>
      </c>
      <c r="L18">
        <v>18</v>
      </c>
      <c r="M18">
        <v>7</v>
      </c>
      <c r="N18" t="s">
        <v>529</v>
      </c>
      <c r="O18" t="s">
        <v>616</v>
      </c>
      <c r="P18" t="s">
        <v>617</v>
      </c>
    </row>
    <row r="19" spans="1:16" x14ac:dyDescent="0.25">
      <c r="A19">
        <v>18</v>
      </c>
      <c r="B19" t="s">
        <v>618</v>
      </c>
      <c r="C19">
        <v>6</v>
      </c>
      <c r="D19" t="s">
        <v>122</v>
      </c>
      <c r="E19" t="s">
        <v>123</v>
      </c>
      <c r="F19" s="122">
        <v>43122</v>
      </c>
      <c r="G19" s="122">
        <v>43150</v>
      </c>
      <c r="H19">
        <v>13</v>
      </c>
      <c r="I19">
        <v>10</v>
      </c>
      <c r="J19" t="s">
        <v>619</v>
      </c>
      <c r="K19" t="s">
        <v>125</v>
      </c>
      <c r="L19">
        <v>19</v>
      </c>
      <c r="M19">
        <v>8</v>
      </c>
      <c r="N19" t="s">
        <v>529</v>
      </c>
      <c r="O19" t="s">
        <v>71</v>
      </c>
      <c r="P19" t="s">
        <v>620</v>
      </c>
    </row>
    <row r="20" spans="1:16" x14ac:dyDescent="0.25">
      <c r="A20">
        <v>19</v>
      </c>
      <c r="B20" t="s">
        <v>621</v>
      </c>
      <c r="C20">
        <v>6</v>
      </c>
      <c r="D20" t="s">
        <v>127</v>
      </c>
      <c r="E20" t="s">
        <v>128</v>
      </c>
      <c r="F20" s="122">
        <v>43552</v>
      </c>
      <c r="G20" s="122">
        <v>43564</v>
      </c>
      <c r="H20">
        <v>14</v>
      </c>
      <c r="I20">
        <v>7</v>
      </c>
      <c r="J20" t="s">
        <v>622</v>
      </c>
      <c r="K20" t="s">
        <v>132</v>
      </c>
      <c r="L20">
        <v>20</v>
      </c>
      <c r="M20">
        <v>9</v>
      </c>
      <c r="N20" t="s">
        <v>529</v>
      </c>
      <c r="O20" t="s">
        <v>623</v>
      </c>
      <c r="P20" t="s">
        <v>624</v>
      </c>
    </row>
    <row r="21" spans="1:16" x14ac:dyDescent="0.25">
      <c r="A21">
        <v>20</v>
      </c>
      <c r="B21" t="s">
        <v>625</v>
      </c>
      <c r="C21">
        <v>6</v>
      </c>
      <c r="D21" t="s">
        <v>134</v>
      </c>
      <c r="E21" t="s">
        <v>135</v>
      </c>
      <c r="F21" s="122">
        <v>43559</v>
      </c>
      <c r="G21" s="122">
        <v>43564</v>
      </c>
      <c r="H21">
        <v>15</v>
      </c>
      <c r="I21">
        <v>7</v>
      </c>
      <c r="J21" t="s">
        <v>626</v>
      </c>
      <c r="K21" t="s">
        <v>137</v>
      </c>
      <c r="L21">
        <v>20</v>
      </c>
      <c r="N21" t="s">
        <v>529</v>
      </c>
      <c r="O21" t="s">
        <v>136</v>
      </c>
      <c r="P21" t="s">
        <v>627</v>
      </c>
    </row>
    <row r="22" spans="1:16" x14ac:dyDescent="0.25">
      <c r="A22">
        <v>21</v>
      </c>
      <c r="B22" t="s">
        <v>628</v>
      </c>
      <c r="C22">
        <v>6</v>
      </c>
      <c r="D22" t="s">
        <v>139</v>
      </c>
      <c r="E22" t="s">
        <v>140</v>
      </c>
      <c r="F22" s="122">
        <v>44449</v>
      </c>
      <c r="G22" s="122">
        <v>44459</v>
      </c>
      <c r="H22">
        <v>16</v>
      </c>
      <c r="I22">
        <v>10</v>
      </c>
      <c r="J22" t="s">
        <v>629</v>
      </c>
      <c r="L22">
        <v>22</v>
      </c>
      <c r="M22">
        <v>10</v>
      </c>
      <c r="N22" t="s">
        <v>529</v>
      </c>
      <c r="O22" t="s">
        <v>630</v>
      </c>
      <c r="P22" t="s">
        <v>631</v>
      </c>
    </row>
    <row r="23" spans="1:16" x14ac:dyDescent="0.25">
      <c r="A23">
        <v>22</v>
      </c>
      <c r="B23" t="s">
        <v>632</v>
      </c>
      <c r="C23">
        <v>5</v>
      </c>
      <c r="D23" t="s">
        <v>144</v>
      </c>
      <c r="E23" t="s">
        <v>145</v>
      </c>
      <c r="F23" s="122">
        <v>45371</v>
      </c>
      <c r="G23" s="122">
        <v>45376</v>
      </c>
      <c r="H23">
        <v>17</v>
      </c>
      <c r="I23">
        <v>3</v>
      </c>
      <c r="J23" t="s">
        <v>633</v>
      </c>
      <c r="L23">
        <v>3</v>
      </c>
      <c r="N23" t="s">
        <v>529</v>
      </c>
      <c r="O23" t="s">
        <v>634</v>
      </c>
      <c r="P23" t="s">
        <v>635</v>
      </c>
    </row>
    <row r="24" spans="1:16" x14ac:dyDescent="0.25">
      <c r="A24">
        <v>23</v>
      </c>
      <c r="B24" t="s">
        <v>636</v>
      </c>
      <c r="C24">
        <v>5</v>
      </c>
      <c r="D24" t="s">
        <v>149</v>
      </c>
      <c r="E24" t="s">
        <v>150</v>
      </c>
      <c r="F24" s="122">
        <v>44714</v>
      </c>
      <c r="G24" s="122">
        <v>44740</v>
      </c>
      <c r="H24">
        <v>18</v>
      </c>
      <c r="I24">
        <v>6</v>
      </c>
      <c r="J24" t="s">
        <v>637</v>
      </c>
      <c r="L24">
        <v>14</v>
      </c>
      <c r="M24">
        <v>11</v>
      </c>
      <c r="N24" t="s">
        <v>529</v>
      </c>
      <c r="O24" t="s">
        <v>638</v>
      </c>
      <c r="P24" t="s">
        <v>639</v>
      </c>
    </row>
    <row r="25" spans="1:16" x14ac:dyDescent="0.25">
      <c r="A25">
        <v>24</v>
      </c>
      <c r="B25" t="s">
        <v>640</v>
      </c>
      <c r="C25">
        <v>5</v>
      </c>
      <c r="D25" t="s">
        <v>154</v>
      </c>
      <c r="E25" t="s">
        <v>155</v>
      </c>
      <c r="F25" s="122">
        <v>44714</v>
      </c>
      <c r="G25" s="122">
        <v>44740</v>
      </c>
      <c r="H25">
        <v>19</v>
      </c>
      <c r="I25">
        <v>6</v>
      </c>
      <c r="J25" t="s">
        <v>641</v>
      </c>
      <c r="L25">
        <v>14</v>
      </c>
      <c r="M25">
        <v>12</v>
      </c>
      <c r="N25" t="s">
        <v>529</v>
      </c>
      <c r="O25" t="s">
        <v>642</v>
      </c>
      <c r="P25" t="s">
        <v>643</v>
      </c>
    </row>
    <row r="26" spans="1:16" x14ac:dyDescent="0.25">
      <c r="A26">
        <v>25</v>
      </c>
      <c r="B26" t="s">
        <v>644</v>
      </c>
      <c r="C26">
        <v>5</v>
      </c>
      <c r="D26" t="s">
        <v>158</v>
      </c>
      <c r="E26" t="s">
        <v>159</v>
      </c>
      <c r="F26" s="122">
        <v>44714</v>
      </c>
      <c r="G26" s="122">
        <v>44740</v>
      </c>
      <c r="H26">
        <v>20</v>
      </c>
      <c r="I26">
        <v>6</v>
      </c>
      <c r="J26" t="s">
        <v>645</v>
      </c>
      <c r="L26">
        <v>14</v>
      </c>
      <c r="M26">
        <v>13</v>
      </c>
      <c r="N26" t="s">
        <v>529</v>
      </c>
      <c r="O26" t="s">
        <v>646</v>
      </c>
      <c r="P26" t="s">
        <v>647</v>
      </c>
    </row>
    <row r="27" spans="1:16" x14ac:dyDescent="0.25">
      <c r="A27">
        <v>26</v>
      </c>
      <c r="B27" t="s">
        <v>648</v>
      </c>
      <c r="C27">
        <v>5</v>
      </c>
      <c r="D27" t="s">
        <v>162</v>
      </c>
      <c r="E27" t="s">
        <v>163</v>
      </c>
      <c r="F27" s="122">
        <v>44714</v>
      </c>
      <c r="G27" s="122">
        <v>44741</v>
      </c>
      <c r="H27">
        <v>21</v>
      </c>
      <c r="I27">
        <v>6</v>
      </c>
      <c r="J27" t="s">
        <v>649</v>
      </c>
      <c r="L27">
        <v>14</v>
      </c>
      <c r="M27">
        <v>14</v>
      </c>
      <c r="N27" t="s">
        <v>529</v>
      </c>
      <c r="O27" t="s">
        <v>650</v>
      </c>
      <c r="P27" t="s">
        <v>651</v>
      </c>
    </row>
    <row r="28" spans="1:16" x14ac:dyDescent="0.25">
      <c r="A28">
        <v>27</v>
      </c>
      <c r="B28" t="s">
        <v>652</v>
      </c>
      <c r="C28">
        <v>9</v>
      </c>
      <c r="D28" t="s">
        <v>167</v>
      </c>
      <c r="F28" s="122">
        <v>45399</v>
      </c>
      <c r="G28" s="122">
        <v>45413</v>
      </c>
      <c r="I28">
        <v>12</v>
      </c>
      <c r="J28" t="s">
        <v>653</v>
      </c>
      <c r="L28">
        <v>28</v>
      </c>
      <c r="N28" t="s">
        <v>531</v>
      </c>
      <c r="O28" t="s">
        <v>87</v>
      </c>
      <c r="P28" t="s">
        <v>169</v>
      </c>
    </row>
    <row r="29" spans="1:16" x14ac:dyDescent="0.25">
      <c r="A29">
        <v>28</v>
      </c>
      <c r="B29" t="s">
        <v>654</v>
      </c>
      <c r="C29">
        <v>5</v>
      </c>
      <c r="D29" t="s">
        <v>170</v>
      </c>
      <c r="E29" t="s">
        <v>171</v>
      </c>
      <c r="F29" s="122">
        <v>44256</v>
      </c>
      <c r="G29" s="122">
        <v>44263</v>
      </c>
      <c r="I29">
        <v>14</v>
      </c>
      <c r="J29" t="s">
        <v>655</v>
      </c>
      <c r="K29" t="s">
        <v>175</v>
      </c>
      <c r="L29">
        <v>7</v>
      </c>
      <c r="N29" t="s">
        <v>531</v>
      </c>
      <c r="O29" t="s">
        <v>656</v>
      </c>
      <c r="P29" t="s">
        <v>657</v>
      </c>
    </row>
    <row r="30" spans="1:16" x14ac:dyDescent="0.25">
      <c r="A30">
        <v>29</v>
      </c>
      <c r="B30" t="s">
        <v>658</v>
      </c>
      <c r="C30">
        <v>5</v>
      </c>
      <c r="D30" t="s">
        <v>177</v>
      </c>
      <c r="E30" t="s">
        <v>178</v>
      </c>
      <c r="F30" s="122">
        <v>43605</v>
      </c>
      <c r="G30" s="122">
        <v>43622</v>
      </c>
      <c r="I30">
        <v>14</v>
      </c>
      <c r="J30" t="s">
        <v>659</v>
      </c>
      <c r="K30" t="s">
        <v>181</v>
      </c>
      <c r="L30">
        <v>30</v>
      </c>
      <c r="N30" t="s">
        <v>531</v>
      </c>
      <c r="O30" t="s">
        <v>179</v>
      </c>
      <c r="P30" t="s">
        <v>660</v>
      </c>
    </row>
    <row r="31" spans="1:16" x14ac:dyDescent="0.25">
      <c r="A31">
        <v>30</v>
      </c>
      <c r="B31" t="s">
        <v>661</v>
      </c>
      <c r="C31">
        <v>11</v>
      </c>
      <c r="D31" t="s">
        <v>184</v>
      </c>
      <c r="E31" t="s">
        <v>185</v>
      </c>
      <c r="F31" s="122">
        <v>45435</v>
      </c>
      <c r="G31" s="122">
        <v>45435</v>
      </c>
      <c r="I31">
        <v>12</v>
      </c>
      <c r="J31" t="s">
        <v>662</v>
      </c>
      <c r="L31">
        <v>31</v>
      </c>
      <c r="N31" t="s">
        <v>531</v>
      </c>
      <c r="O31" t="s">
        <v>663</v>
      </c>
      <c r="P31" t="s">
        <v>188</v>
      </c>
    </row>
    <row r="32" spans="1:16" x14ac:dyDescent="0.25">
      <c r="A32">
        <v>31</v>
      </c>
      <c r="B32" t="s">
        <v>664</v>
      </c>
      <c r="C32">
        <v>5</v>
      </c>
      <c r="D32" t="s">
        <v>189</v>
      </c>
      <c r="E32" t="s">
        <v>190</v>
      </c>
      <c r="F32" s="122">
        <v>44973</v>
      </c>
      <c r="G32" s="122">
        <v>44979</v>
      </c>
      <c r="I32">
        <v>10</v>
      </c>
      <c r="J32" t="s">
        <v>665</v>
      </c>
      <c r="L32">
        <v>14</v>
      </c>
      <c r="N32" t="s">
        <v>531</v>
      </c>
      <c r="O32" t="s">
        <v>192</v>
      </c>
      <c r="P32" t="s">
        <v>666</v>
      </c>
    </row>
    <row r="33" spans="1:16" x14ac:dyDescent="0.25">
      <c r="A33">
        <v>32</v>
      </c>
      <c r="B33" t="s">
        <v>667</v>
      </c>
      <c r="C33">
        <v>5</v>
      </c>
      <c r="D33" t="s">
        <v>194</v>
      </c>
      <c r="E33" t="s">
        <v>195</v>
      </c>
      <c r="F33" s="122">
        <v>44714</v>
      </c>
      <c r="G33" s="122">
        <v>44741</v>
      </c>
      <c r="H33">
        <v>22</v>
      </c>
      <c r="I33">
        <v>6</v>
      </c>
      <c r="J33" t="s">
        <v>668</v>
      </c>
      <c r="L33">
        <v>33</v>
      </c>
      <c r="N33" t="s">
        <v>529</v>
      </c>
      <c r="O33" t="s">
        <v>669</v>
      </c>
      <c r="P33" t="s">
        <v>670</v>
      </c>
    </row>
    <row r="34" spans="1:16" x14ac:dyDescent="0.25">
      <c r="A34">
        <v>33</v>
      </c>
      <c r="B34" t="s">
        <v>671</v>
      </c>
      <c r="C34">
        <v>6</v>
      </c>
      <c r="D34" t="s">
        <v>198</v>
      </c>
      <c r="E34" t="s">
        <v>199</v>
      </c>
      <c r="F34" s="122">
        <v>44474</v>
      </c>
      <c r="G34" s="122">
        <v>44475</v>
      </c>
      <c r="H34">
        <v>23</v>
      </c>
      <c r="I34">
        <v>10</v>
      </c>
      <c r="J34" t="s">
        <v>672</v>
      </c>
      <c r="L34">
        <v>34</v>
      </c>
      <c r="N34" t="s">
        <v>529</v>
      </c>
      <c r="O34" t="s">
        <v>616</v>
      </c>
      <c r="P34" t="s">
        <v>673</v>
      </c>
    </row>
    <row r="35" spans="1:16" x14ac:dyDescent="0.25">
      <c r="A35">
        <v>34</v>
      </c>
      <c r="B35" t="s">
        <v>674</v>
      </c>
      <c r="C35">
        <v>5</v>
      </c>
      <c r="D35" t="s">
        <v>202</v>
      </c>
      <c r="E35" t="s">
        <v>203</v>
      </c>
      <c r="F35" s="122">
        <v>44294</v>
      </c>
      <c r="G35" s="122">
        <v>44300</v>
      </c>
      <c r="I35">
        <v>14</v>
      </c>
      <c r="J35" t="s">
        <v>675</v>
      </c>
      <c r="L35">
        <v>34</v>
      </c>
      <c r="N35" t="s">
        <v>531</v>
      </c>
      <c r="O35" t="s">
        <v>205</v>
      </c>
      <c r="P35" t="s">
        <v>676</v>
      </c>
    </row>
    <row r="36" spans="1:16" x14ac:dyDescent="0.25">
      <c r="A36">
        <v>35</v>
      </c>
      <c r="B36" t="s">
        <v>677</v>
      </c>
      <c r="C36">
        <v>5</v>
      </c>
      <c r="D36" t="s">
        <v>207</v>
      </c>
      <c r="F36" s="122">
        <v>44762</v>
      </c>
      <c r="G36" s="122">
        <v>44770</v>
      </c>
      <c r="H36">
        <v>24</v>
      </c>
      <c r="I36">
        <v>4</v>
      </c>
      <c r="J36" t="s">
        <v>678</v>
      </c>
      <c r="L36">
        <v>36</v>
      </c>
      <c r="M36">
        <v>15</v>
      </c>
      <c r="N36" t="s">
        <v>529</v>
      </c>
      <c r="O36" t="s">
        <v>679</v>
      </c>
      <c r="P36" t="s">
        <v>680</v>
      </c>
    </row>
    <row r="37" spans="1:16" x14ac:dyDescent="0.25">
      <c r="A37">
        <v>36</v>
      </c>
      <c r="B37" t="s">
        <v>681</v>
      </c>
      <c r="C37">
        <v>5</v>
      </c>
      <c r="D37" t="s">
        <v>210</v>
      </c>
      <c r="E37" t="s">
        <v>211</v>
      </c>
      <c r="F37" s="122">
        <v>44798</v>
      </c>
      <c r="G37" s="122">
        <v>44826</v>
      </c>
      <c r="H37">
        <v>25</v>
      </c>
      <c r="I37">
        <v>3</v>
      </c>
      <c r="J37" t="s">
        <v>682</v>
      </c>
      <c r="L37">
        <v>14</v>
      </c>
      <c r="M37">
        <v>16</v>
      </c>
      <c r="N37" t="s">
        <v>529</v>
      </c>
      <c r="O37" t="s">
        <v>683</v>
      </c>
      <c r="P37" t="s">
        <v>684</v>
      </c>
    </row>
    <row r="38" spans="1:16" x14ac:dyDescent="0.25">
      <c r="A38">
        <v>37</v>
      </c>
      <c r="B38" t="s">
        <v>685</v>
      </c>
      <c r="C38">
        <v>2</v>
      </c>
      <c r="D38" t="s">
        <v>214</v>
      </c>
      <c r="E38" t="s">
        <v>215</v>
      </c>
      <c r="F38" s="122">
        <v>45576</v>
      </c>
      <c r="G38" s="122">
        <v>45579</v>
      </c>
      <c r="I38">
        <v>18</v>
      </c>
      <c r="J38" t="s">
        <v>686</v>
      </c>
      <c r="L38">
        <v>38</v>
      </c>
      <c r="N38" t="s">
        <v>530</v>
      </c>
      <c r="O38" t="s">
        <v>687</v>
      </c>
      <c r="P38" t="s">
        <v>219</v>
      </c>
    </row>
    <row r="39" spans="1:16" x14ac:dyDescent="0.25">
      <c r="A39">
        <v>38</v>
      </c>
      <c r="B39" t="s">
        <v>688</v>
      </c>
      <c r="C39">
        <v>10</v>
      </c>
      <c r="D39" t="s">
        <v>221</v>
      </c>
      <c r="E39" t="s">
        <v>222</v>
      </c>
      <c r="F39" s="122">
        <v>45159</v>
      </c>
      <c r="G39" s="122">
        <v>45168</v>
      </c>
      <c r="H39">
        <v>26</v>
      </c>
      <c r="I39">
        <v>7</v>
      </c>
      <c r="J39" t="s">
        <v>689</v>
      </c>
      <c r="L39">
        <v>39</v>
      </c>
      <c r="M39">
        <v>17</v>
      </c>
      <c r="N39" t="s">
        <v>529</v>
      </c>
      <c r="O39" t="s">
        <v>690</v>
      </c>
      <c r="P39" t="s">
        <v>691</v>
      </c>
    </row>
    <row r="40" spans="1:16" x14ac:dyDescent="0.25">
      <c r="A40">
        <v>39</v>
      </c>
      <c r="B40" t="s">
        <v>692</v>
      </c>
      <c r="C40">
        <v>7</v>
      </c>
      <c r="D40" t="s">
        <v>228</v>
      </c>
      <c r="E40" t="s">
        <v>229</v>
      </c>
      <c r="F40" s="122">
        <v>45551</v>
      </c>
      <c r="G40" s="122">
        <v>45553</v>
      </c>
      <c r="I40">
        <v>2</v>
      </c>
      <c r="J40" t="s">
        <v>693</v>
      </c>
      <c r="L40">
        <v>40</v>
      </c>
      <c r="N40" t="s">
        <v>531</v>
      </c>
      <c r="O40" t="s">
        <v>71</v>
      </c>
      <c r="P40" t="s">
        <v>232</v>
      </c>
    </row>
    <row r="41" spans="1:16" x14ac:dyDescent="0.25">
      <c r="A41">
        <v>40</v>
      </c>
      <c r="B41" t="s">
        <v>694</v>
      </c>
      <c r="C41">
        <v>11</v>
      </c>
      <c r="D41" t="s">
        <v>233</v>
      </c>
      <c r="E41" t="s">
        <v>234</v>
      </c>
      <c r="F41" s="122">
        <v>45615</v>
      </c>
      <c r="G41" s="122">
        <v>45615</v>
      </c>
      <c r="H41">
        <v>27</v>
      </c>
      <c r="I41">
        <v>19</v>
      </c>
      <c r="J41" t="s">
        <v>695</v>
      </c>
      <c r="L41">
        <v>31</v>
      </c>
      <c r="N41" t="s">
        <v>529</v>
      </c>
      <c r="O41" t="s">
        <v>696</v>
      </c>
      <c r="P41" t="s">
        <v>238</v>
      </c>
    </row>
    <row r="42" spans="1:16" x14ac:dyDescent="0.25">
      <c r="A42">
        <v>41</v>
      </c>
      <c r="B42" t="s">
        <v>697</v>
      </c>
      <c r="C42">
        <v>8</v>
      </c>
      <c r="D42" t="s">
        <v>240</v>
      </c>
      <c r="E42" t="s">
        <v>241</v>
      </c>
      <c r="F42" s="122">
        <v>45195</v>
      </c>
      <c r="G42" s="122">
        <v>45208</v>
      </c>
      <c r="I42">
        <v>12</v>
      </c>
      <c r="J42" t="s">
        <v>698</v>
      </c>
      <c r="L42">
        <v>42</v>
      </c>
      <c r="M42">
        <v>18</v>
      </c>
      <c r="N42" t="s">
        <v>531</v>
      </c>
      <c r="O42" t="s">
        <v>71</v>
      </c>
      <c r="P42" t="s">
        <v>699</v>
      </c>
    </row>
    <row r="43" spans="1:16" x14ac:dyDescent="0.25">
      <c r="A43">
        <v>42</v>
      </c>
      <c r="B43" t="s">
        <v>700</v>
      </c>
      <c r="C43">
        <v>10</v>
      </c>
      <c r="D43" t="s">
        <v>244</v>
      </c>
      <c r="E43" t="s">
        <v>245</v>
      </c>
      <c r="F43" s="122">
        <v>45225</v>
      </c>
      <c r="G43" s="122">
        <v>45243</v>
      </c>
      <c r="H43">
        <v>28</v>
      </c>
      <c r="I43">
        <v>10</v>
      </c>
      <c r="J43" t="s">
        <v>701</v>
      </c>
      <c r="L43">
        <v>43</v>
      </c>
      <c r="M43">
        <v>19</v>
      </c>
      <c r="N43" t="s">
        <v>529</v>
      </c>
      <c r="O43" t="s">
        <v>71</v>
      </c>
      <c r="P43" t="s">
        <v>702</v>
      </c>
    </row>
    <row r="44" spans="1:16" x14ac:dyDescent="0.25">
      <c r="A44">
        <v>43</v>
      </c>
      <c r="B44" t="s">
        <v>703</v>
      </c>
      <c r="C44">
        <v>1</v>
      </c>
      <c r="D44" t="s">
        <v>247</v>
      </c>
      <c r="E44" t="s">
        <v>248</v>
      </c>
      <c r="F44" s="122">
        <v>44484</v>
      </c>
      <c r="G44" s="122">
        <v>44495</v>
      </c>
      <c r="H44">
        <v>29</v>
      </c>
      <c r="I44">
        <v>11</v>
      </c>
      <c r="J44" t="s">
        <v>704</v>
      </c>
      <c r="L44">
        <v>44</v>
      </c>
      <c r="N44" t="s">
        <v>529</v>
      </c>
      <c r="O44" t="s">
        <v>71</v>
      </c>
      <c r="P44" t="s">
        <v>250</v>
      </c>
    </row>
    <row r="45" spans="1:16" x14ac:dyDescent="0.25">
      <c r="A45">
        <v>44</v>
      </c>
      <c r="B45" t="s">
        <v>705</v>
      </c>
      <c r="C45">
        <v>1</v>
      </c>
      <c r="D45" t="s">
        <v>251</v>
      </c>
      <c r="E45" t="s">
        <v>252</v>
      </c>
      <c r="F45" s="122">
        <v>43136</v>
      </c>
      <c r="G45" s="122">
        <v>43140</v>
      </c>
      <c r="H45">
        <v>30</v>
      </c>
      <c r="I45">
        <v>11</v>
      </c>
      <c r="J45" t="s">
        <v>706</v>
      </c>
      <c r="K45" t="s">
        <v>254</v>
      </c>
      <c r="L45">
        <v>45</v>
      </c>
      <c r="N45" t="s">
        <v>529</v>
      </c>
      <c r="O45" t="s">
        <v>71</v>
      </c>
      <c r="P45" t="s">
        <v>707</v>
      </c>
    </row>
    <row r="46" spans="1:16" x14ac:dyDescent="0.25">
      <c r="A46">
        <v>45</v>
      </c>
      <c r="B46" t="s">
        <v>708</v>
      </c>
      <c r="C46">
        <v>10</v>
      </c>
      <c r="D46" t="s">
        <v>256</v>
      </c>
      <c r="E46" t="s">
        <v>257</v>
      </c>
      <c r="F46" s="122">
        <v>45526</v>
      </c>
      <c r="G46" s="122">
        <v>45530</v>
      </c>
      <c r="H46">
        <v>31</v>
      </c>
      <c r="I46">
        <v>9</v>
      </c>
      <c r="J46" t="s">
        <v>709</v>
      </c>
      <c r="L46">
        <v>39</v>
      </c>
      <c r="N46" t="s">
        <v>529</v>
      </c>
      <c r="O46" t="s">
        <v>259</v>
      </c>
      <c r="P46" t="s">
        <v>260</v>
      </c>
    </row>
    <row r="47" spans="1:16" x14ac:dyDescent="0.25">
      <c r="A47">
        <v>46</v>
      </c>
      <c r="B47" t="s">
        <v>710</v>
      </c>
      <c r="C47">
        <v>3</v>
      </c>
      <c r="D47" t="s">
        <v>262</v>
      </c>
      <c r="E47" t="s">
        <v>263</v>
      </c>
      <c r="F47" s="122">
        <v>45427</v>
      </c>
      <c r="G47" s="122">
        <v>45434</v>
      </c>
      <c r="I47">
        <v>19</v>
      </c>
      <c r="J47" t="s">
        <v>711</v>
      </c>
      <c r="L47">
        <v>47</v>
      </c>
      <c r="N47" t="s">
        <v>531</v>
      </c>
      <c r="O47" t="s">
        <v>712</v>
      </c>
      <c r="P47" t="s">
        <v>267</v>
      </c>
    </row>
    <row r="48" spans="1:16" x14ac:dyDescent="0.25">
      <c r="A48">
        <v>47</v>
      </c>
      <c r="B48" t="s">
        <v>713</v>
      </c>
      <c r="C48">
        <v>1</v>
      </c>
      <c r="D48" t="s">
        <v>268</v>
      </c>
      <c r="E48" t="s">
        <v>269</v>
      </c>
      <c r="F48" s="122">
        <v>44922</v>
      </c>
      <c r="G48" s="122">
        <v>44925</v>
      </c>
      <c r="H48">
        <v>32</v>
      </c>
      <c r="I48">
        <v>16</v>
      </c>
      <c r="J48" t="s">
        <v>714</v>
      </c>
      <c r="L48">
        <v>48</v>
      </c>
      <c r="N48" t="s">
        <v>529</v>
      </c>
      <c r="O48" t="s">
        <v>71</v>
      </c>
      <c r="P48" t="s">
        <v>271</v>
      </c>
    </row>
    <row r="49" spans="1:16" x14ac:dyDescent="0.25">
      <c r="A49">
        <v>48</v>
      </c>
      <c r="B49" t="s">
        <v>715</v>
      </c>
      <c r="C49">
        <v>1</v>
      </c>
      <c r="D49" t="s">
        <v>272</v>
      </c>
      <c r="E49" t="s">
        <v>273</v>
      </c>
      <c r="F49" s="122">
        <v>44930</v>
      </c>
      <c r="G49" s="122">
        <v>44935</v>
      </c>
      <c r="H49">
        <v>33</v>
      </c>
      <c r="I49">
        <v>16</v>
      </c>
      <c r="J49" t="s">
        <v>716</v>
      </c>
      <c r="L49">
        <v>49</v>
      </c>
      <c r="N49" t="s">
        <v>529</v>
      </c>
      <c r="O49" t="s">
        <v>717</v>
      </c>
      <c r="P49" t="s">
        <v>271</v>
      </c>
    </row>
    <row r="50" spans="1:16" x14ac:dyDescent="0.25">
      <c r="A50">
        <v>49</v>
      </c>
      <c r="B50" t="s">
        <v>718</v>
      </c>
      <c r="C50">
        <v>1</v>
      </c>
      <c r="D50" t="s">
        <v>276</v>
      </c>
      <c r="E50" t="s">
        <v>277</v>
      </c>
      <c r="F50" s="122">
        <v>40583</v>
      </c>
      <c r="G50" s="122">
        <v>40588</v>
      </c>
      <c r="I50">
        <v>15</v>
      </c>
      <c r="K50" t="s">
        <v>281</v>
      </c>
      <c r="L50">
        <v>50</v>
      </c>
      <c r="N50" t="s">
        <v>530</v>
      </c>
      <c r="O50" t="s">
        <v>719</v>
      </c>
      <c r="P50" t="s">
        <v>720</v>
      </c>
    </row>
    <row r="51" spans="1:16" x14ac:dyDescent="0.25">
      <c r="A51">
        <v>50</v>
      </c>
      <c r="B51" t="s">
        <v>721</v>
      </c>
      <c r="C51">
        <v>1</v>
      </c>
      <c r="D51" t="s">
        <v>283</v>
      </c>
      <c r="E51" t="s">
        <v>284</v>
      </c>
      <c r="F51" s="122">
        <v>40583</v>
      </c>
      <c r="G51" s="122">
        <v>40588</v>
      </c>
      <c r="I51">
        <v>15</v>
      </c>
      <c r="K51" t="s">
        <v>287</v>
      </c>
      <c r="L51">
        <v>51</v>
      </c>
      <c r="N51" t="s">
        <v>530</v>
      </c>
      <c r="O51" t="s">
        <v>722</v>
      </c>
      <c r="P51" t="s">
        <v>723</v>
      </c>
    </row>
    <row r="52" spans="1:16" x14ac:dyDescent="0.25">
      <c r="A52">
        <v>51</v>
      </c>
      <c r="B52" t="s">
        <v>724</v>
      </c>
      <c r="C52">
        <v>1</v>
      </c>
      <c r="D52" t="s">
        <v>289</v>
      </c>
      <c r="E52" t="s">
        <v>290</v>
      </c>
      <c r="F52" s="122">
        <v>43761</v>
      </c>
      <c r="G52" s="122">
        <v>43763</v>
      </c>
      <c r="H52">
        <v>34</v>
      </c>
      <c r="I52">
        <v>11</v>
      </c>
      <c r="J52" t="s">
        <v>725</v>
      </c>
      <c r="K52" t="s">
        <v>292</v>
      </c>
      <c r="L52">
        <v>52</v>
      </c>
      <c r="N52" t="s">
        <v>529</v>
      </c>
      <c r="O52" t="s">
        <v>71</v>
      </c>
      <c r="P52" t="s">
        <v>726</v>
      </c>
    </row>
    <row r="53" spans="1:16" x14ac:dyDescent="0.25">
      <c r="A53">
        <v>52</v>
      </c>
      <c r="B53" t="s">
        <v>727</v>
      </c>
      <c r="C53">
        <v>1</v>
      </c>
      <c r="D53" t="s">
        <v>294</v>
      </c>
      <c r="E53" t="s">
        <v>295</v>
      </c>
      <c r="F53" s="122">
        <v>45258</v>
      </c>
      <c r="G53" s="122">
        <v>45259</v>
      </c>
      <c r="H53">
        <v>35</v>
      </c>
      <c r="I53">
        <v>16</v>
      </c>
      <c r="J53" t="s">
        <v>728</v>
      </c>
      <c r="L53">
        <v>53</v>
      </c>
      <c r="N53" t="s">
        <v>529</v>
      </c>
      <c r="O53" t="s">
        <v>71</v>
      </c>
      <c r="P53" t="s">
        <v>297</v>
      </c>
    </row>
    <row r="54" spans="1:16" x14ac:dyDescent="0.25">
      <c r="A54">
        <v>53</v>
      </c>
      <c r="B54" t="s">
        <v>729</v>
      </c>
      <c r="C54">
        <v>1</v>
      </c>
      <c r="D54" t="s">
        <v>298</v>
      </c>
      <c r="E54" t="s">
        <v>299</v>
      </c>
      <c r="F54" s="122">
        <v>44953</v>
      </c>
      <c r="G54" s="122">
        <v>45261</v>
      </c>
      <c r="H54">
        <v>36</v>
      </c>
      <c r="I54">
        <v>16</v>
      </c>
      <c r="J54" t="s">
        <v>730</v>
      </c>
      <c r="L54">
        <v>54</v>
      </c>
      <c r="N54" t="s">
        <v>529</v>
      </c>
      <c r="O54" t="s">
        <v>71</v>
      </c>
      <c r="P54" t="s">
        <v>297</v>
      </c>
    </row>
    <row r="55" spans="1:16" x14ac:dyDescent="0.25">
      <c r="A55">
        <v>54</v>
      </c>
      <c r="B55" t="s">
        <v>731</v>
      </c>
      <c r="C55">
        <v>1</v>
      </c>
      <c r="D55" t="s">
        <v>301</v>
      </c>
      <c r="E55" t="s">
        <v>302</v>
      </c>
      <c r="F55" s="122">
        <v>45520</v>
      </c>
      <c r="G55" s="122">
        <v>45525</v>
      </c>
      <c r="H55">
        <v>37</v>
      </c>
      <c r="I55">
        <v>16</v>
      </c>
      <c r="J55" t="s">
        <v>732</v>
      </c>
      <c r="L55">
        <v>55</v>
      </c>
      <c r="N55" t="s">
        <v>529</v>
      </c>
      <c r="O55" t="s">
        <v>71</v>
      </c>
      <c r="P55" t="s">
        <v>260</v>
      </c>
    </row>
  </sheetData>
  <pageMargins left="0.511811024" right="0.511811024" top="0.78740157499999996" bottom="0.78740157499999996" header="0.31496062000000002" footer="0.31496062000000002"/>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3E13-85FF-4683-AEF7-16027D4C534A}">
  <dimension ref="A1"/>
  <sheetViews>
    <sheetView workbookViewId="0">
      <selection activeCell="C2" sqref="C2"/>
    </sheetView>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6E1965-7F0A-4070-848F-991D5A96FC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Main</vt:lpstr>
      <vt:lpstr>TB_DECLARACAO</vt:lpstr>
      <vt:lpstr>TB_CE_MERCANTE</vt:lpstr>
      <vt:lpstr>TB_RECINTO_ALFANDEGADO</vt:lpstr>
      <vt:lpstr>TB_APOLICE</vt:lpstr>
      <vt:lpstr>TB_CONTRATO</vt:lpstr>
      <vt:lpstr>TB_CNPJ</vt:lpstr>
      <vt:lpstr>tCidade</vt:lpstr>
      <vt:lpstr>Consulta1</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MARCUS VINICIUS</dc:creator>
  <cp:lastModifiedBy>Marcus Paiva</cp:lastModifiedBy>
  <dcterms:created xsi:type="dcterms:W3CDTF">2024-12-27T18:56:52Z</dcterms:created>
  <dcterms:modified xsi:type="dcterms:W3CDTF">2025-10-27T00:40:57Z</dcterms:modified>
</cp:coreProperties>
</file>